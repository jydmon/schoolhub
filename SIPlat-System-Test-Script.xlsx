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Test Ca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<sst xmlns="http://schemas.openxmlformats.org/spreadsheetml/2006/main" count="1253" uniqueCount="653">
  <si>
    <t xml:space="preserve">SIPlat — System Test Script (UAT)</t>
  </si>
  <si>
    <t xml:space="preserve">User Acceptance Test matrix — whole system</t>
  </si>
  <si>
    <t xml:space="preserve">Version 1.0 · 14 August 2026</t>
  </si>
  <si>
    <t xml:space="preserve">Purpose</t>
  </si>
  <si>
    <t xml:space="preserve">A repeatable test script covering every SIPlat portal and the mobile apps. Execute each case, set its Status, and record the actual result. The Summary tab totals results automatically.</t>
  </si>
  <si>
    <t xml:space="preserve">How to use</t>
  </si>
  <si>
    <t xml:space="preserve">On the 'Test Cases' tab, work top to bottom. For each row: meet the Preconditions, follow the Test Steps, compare against the Expected Result, then set Status and add notes. Put your name and the date in the last columns.</t>
  </si>
  <si>
    <t xml:space="preserve">Status values</t>
  </si>
  <si>
    <t xml:space="preserve">Not Run (default) · Pass · Fail · Blocked (can't run yet) · N/A (not applicable to this deployment). Use the dropdown in the Status column.</t>
  </si>
  <si>
    <t xml:space="preserve">Priority</t>
  </si>
  <si>
    <t xml:space="preserve">High = must pass before go-live · Medium = important · Low = nice to have. Prioritise High cases in a time-boxed run.</t>
  </si>
  <si>
    <t xml:space="preserve">Type</t>
  </si>
  <si>
    <t xml:space="preserve">Functional, Security, Integration, Usability or Negative — indicates what the case is probing.</t>
  </si>
  <si>
    <t xml:space="preserve">Test environment</t>
  </si>
  <si>
    <t xml:space="preserve">Record the environment (URL / app build) and date of the run here: ____________________________________________</t>
  </si>
  <si>
    <t xml:space="preserve">Test accounts</t>
  </si>
  <si>
    <t xml:space="preserve">Have one account per role ready: Super Admin, School Administrator, Teacher, Parent, Driver, Transport Manager (plus a suspended account and a custom-role user for RBAC cases).</t>
  </si>
  <si>
    <t xml:space="preserve">Defects</t>
  </si>
  <si>
    <t xml:space="preserve">For any Fail, log the Test ID, steps, expected vs actual and a screenshot in your defect tracker, and reference it in the Notes column.</t>
  </si>
  <si>
    <t xml:space="preserve">Scope note</t>
  </si>
  <si>
    <t xml:space="preserve">Covers implemented functionality across web and mobile. The subscription/billing commercial model (Connect/Plus/Complete, entitlement engine, live Stripe) is assessed separately in the Subscription Requirements Validation document and is not exhaustively tested here.</t>
  </si>
  <si>
    <t xml:space="preserve">Test execution summary</t>
  </si>
  <si>
    <t xml:space="preserve">Auto-calculated from the Test Cases tab as you fill in Status.</t>
  </si>
  <si>
    <t xml:space="preserve">Overall</t>
  </si>
  <si>
    <t xml:space="preserve">Total test cases</t>
  </si>
  <si>
    <t xml:space="preserve">Pass</t>
  </si>
  <si>
    <t xml:space="preserve">Fail</t>
  </si>
  <si>
    <t xml:space="preserve">Blocked</t>
  </si>
  <si>
    <t xml:space="preserve">N/A</t>
  </si>
  <si>
    <t xml:space="preserve">Not Run</t>
  </si>
  <si>
    <t xml:space="preserve">Pass rate (of executed)</t>
  </si>
  <si>
    <t xml:space="preserve">By area</t>
  </si>
  <si>
    <t xml:space="preserve">Area</t>
  </si>
  <si>
    <t xml:space="preserve">Total</t>
  </si>
  <si>
    <t xml:space="preserve">Pass %</t>
  </si>
  <si>
    <t xml:space="preserve">Authentication &amp; account security</t>
  </si>
  <si>
    <t xml:space="preserve">Roles &amp; Access Management (item 12)</t>
  </si>
  <si>
    <t xml:space="preserve">Super Admin — tenants, packages &amp; subscriptions</t>
  </si>
  <si>
    <t xml:space="preserve">Super Admin — CRM, CMS, content &amp; ops</t>
  </si>
  <si>
    <t xml:space="preserve">Secure support access (impersonation, item 13)</t>
  </si>
  <si>
    <t xml:space="preserve">School Admin — people, guardians &amp; import</t>
  </si>
  <si>
    <t xml:space="preserve">School Admin — calendar, attendance &amp; behaviour</t>
  </si>
  <si>
    <t xml:space="preserve">School Admin — knowledge, meals &amp; clubs</t>
  </si>
  <si>
    <t xml:space="preserve">Communications, notifications &amp; messaging</t>
  </si>
  <si>
    <t xml:space="preserve">Pupil report release (Phase 15)</t>
  </si>
  <si>
    <t xml:space="preserve">Integrations &amp; Integration Hub</t>
  </si>
  <si>
    <t xml:space="preserve">Transport manager portal</t>
  </si>
  <si>
    <t xml:space="preserve">Driver portal &amp; mobile</t>
  </si>
  <si>
    <t xml:space="preserve">Parent portal &amp; app</t>
  </si>
  <si>
    <t xml:space="preserve">Teacher portal &amp; app</t>
  </si>
  <si>
    <t xml:space="preserve">AI knowledge assistant</t>
  </si>
  <si>
    <t xml:space="preserve">Support ticketing (item 14)</t>
  </si>
  <si>
    <t xml:space="preserve">Search</t>
  </si>
  <si>
    <t xml:space="preserve">Security, privacy &amp; audit</t>
  </si>
  <si>
    <t xml:space="preserve">Mobile applications (cross-cutting)</t>
  </si>
  <si>
    <t xml:space="preserve">Operations &amp; reporting (Phase 13)</t>
  </si>
  <si>
    <t xml:space="preserve">TOTAL</t>
  </si>
  <si>
    <t xml:space="preserve">Test ID</t>
  </si>
  <si>
    <t xml:space="preserve">Area / Module</t>
  </si>
  <si>
    <t xml:space="preserve">Portal</t>
  </si>
  <si>
    <t xml:space="preserve">Test Scenario</t>
  </si>
  <si>
    <t xml:space="preserve">Preconditions</t>
  </si>
  <si>
    <t xml:space="preserve">Test Steps</t>
  </si>
  <si>
    <t xml:space="preserve">Expected Result</t>
  </si>
  <si>
    <t xml:space="preserve">Status</t>
  </si>
  <si>
    <t xml:space="preserve">Actual Result / Notes</t>
  </si>
  <si>
    <t xml:space="preserve">Tester</t>
  </si>
  <si>
    <t xml:space="preserve">Date Tested</t>
  </si>
  <si>
    <t xml:space="preserve">AUTH-01</t>
  </si>
  <si>
    <t xml:space="preserve">All / Login</t>
  </si>
  <si>
    <t xml:space="preserve">High</t>
  </si>
  <si>
    <t xml:space="preserve">Functional</t>
  </si>
  <si>
    <t xml:space="preserve">Valid login (school admin)</t>
  </si>
  <si>
    <t xml:space="preserve">A school admin account exists</t>
  </si>
  <si>
    <t xml:space="preserve">1. Open the app and go to the login page.
2. Enter a valid school-admin email and password.
3. Submit.</t>
  </si>
  <si>
    <t xml:space="preserve">User is authenticated and routed to the school administration portal.</t>
  </si>
  <si>
    <t xml:space="preserve">AUTH-02</t>
  </si>
  <si>
    <t xml:space="preserve">Role-based landing routing</t>
  </si>
  <si>
    <t xml:space="preserve">Accounts for each role exist</t>
  </si>
  <si>
    <t xml:space="preserve">1. Log in as teacher, then driver, then transport manager, then parent (separately).</t>
  </si>
  <si>
    <t xml:space="preserve">Each role lands on its dedicated portal (/teacher, /driver, /transport, /parent) — not a generic page.</t>
  </si>
  <si>
    <t xml:space="preserve">AUTH-03</t>
  </si>
  <si>
    <t xml:space="preserve">Security</t>
  </si>
  <si>
    <t xml:space="preserve">Invalid password rejected</t>
  </si>
  <si>
    <t xml:space="preserve">A valid account exists</t>
  </si>
  <si>
    <t xml:space="preserve">1. Enter a valid email with a wrong password.
2. Submit.</t>
  </si>
  <si>
    <t xml:space="preserve">Login is rejected with a generic error; no session is created.</t>
  </si>
  <si>
    <t xml:space="preserve">AUTH-04</t>
  </si>
  <si>
    <t xml:space="preserve">TOTP multi-factor authentication</t>
  </si>
  <si>
    <t xml:space="preserve">MFA enrolled on the account</t>
  </si>
  <si>
    <t xml:space="preserve">1. Log in with email/password.
2. Enter the current TOTP code.</t>
  </si>
  <si>
    <t xml:space="preserve">Access granted only after a correct code; an incorrect code is rejected.</t>
  </si>
  <si>
    <t xml:space="preserve">AUTH-05</t>
  </si>
  <si>
    <t xml:space="preserve">Medium</t>
  </si>
  <si>
    <t xml:space="preserve">Mandatory MFA enrolment gate</t>
  </si>
  <si>
    <t xml:space="preserve">Policy 'MFA required' is on; account has no MFA</t>
  </si>
  <si>
    <t xml:space="preserve">1. Log in with email/password.</t>
  </si>
  <si>
    <t xml:space="preserve">Login returns an MFA-enrolment requirement and walks the user through enrolling before entry.</t>
  </si>
  <si>
    <t xml:space="preserve">AUTH-06</t>
  </si>
  <si>
    <t xml:space="preserve">Password expiry &amp; grace</t>
  </si>
  <si>
    <t xml:space="preserve">Password expiry policy configured; password past expiry</t>
  </si>
  <si>
    <t xml:space="preserve">1. Log in with an expired password.</t>
  </si>
  <si>
    <t xml:space="preserve">User is prompted to change the password now, with a 'remind me later' option while within the grace period.</t>
  </si>
  <si>
    <t xml:space="preserve">AUTH-07</t>
  </si>
  <si>
    <t xml:space="preserve">Show/Hide password &amp; keep me logged in</t>
  </si>
  <si>
    <t xml:space="preserve">On the login screen</t>
  </si>
  <si>
    <t xml:space="preserve">1. Toggle show/hide on the password field.
2. Tick 'keep me logged in' and log in.</t>
  </si>
  <si>
    <t xml:space="preserve">Password value is revealed/hidden on toggle; the extended (30-day) session is issued.</t>
  </si>
  <si>
    <t xml:space="preserve">AUTH-08</t>
  </si>
  <si>
    <t xml:space="preserve">Sign out everywhere revokes sessions</t>
  </si>
  <si>
    <t xml:space="preserve">Logged in on two devices/browsers</t>
  </si>
  <si>
    <t xml:space="preserve">1. On device A, open Security and choose 'sign out everywhere'.
2. Refresh device B.</t>
  </si>
  <si>
    <t xml:space="preserve">All other sessions are invalidated; device B must log in again.</t>
  </si>
  <si>
    <t xml:space="preserve">AUTH-09</t>
  </si>
  <si>
    <t xml:space="preserve">Rate limiting on repeated failures</t>
  </si>
  <si>
    <t xml:space="preserve">—</t>
  </si>
  <si>
    <t xml:space="preserve">1. Submit many rapid failed logins for one account/IP.</t>
  </si>
  <si>
    <t xml:space="preserve">Further attempts are throttled/blocked temporarily.</t>
  </si>
  <si>
    <t xml:space="preserve">AUTH-10</t>
  </si>
  <si>
    <t xml:space="preserve">Disabled/suspended account blocked</t>
  </si>
  <si>
    <t xml:space="preserve">A suspended user exists</t>
  </si>
  <si>
    <t xml:space="preserve">1. Attempt to log in as the suspended user.</t>
  </si>
  <si>
    <t xml:space="preserve">Login is refused with an appropriate message.</t>
  </si>
  <si>
    <t xml:space="preserve">RBAC-01</t>
  </si>
  <si>
    <t xml:space="preserve">School Admin</t>
  </si>
  <si>
    <t xml:space="preserve">View roles &amp; permissions catalogue</t>
  </si>
  <si>
    <t xml:space="preserve">Logged in as School Administrator</t>
  </si>
  <si>
    <t xml:space="preserve">1. Go to Settings &gt; Access management &gt; Roles &amp; permissions.</t>
  </si>
  <si>
    <t xml:space="preserve">Built-in and custom roles list with grouped feature permissions, page access and CRUD matrices.</t>
  </si>
  <si>
    <t xml:space="preserve">RBAC-02</t>
  </si>
  <si>
    <t xml:space="preserve">Create a custom role</t>
  </si>
  <si>
    <t xml:space="preserve">Access management open</t>
  </si>
  <si>
    <t xml:space="preserve">1. Create a new role, set a name.
2. Tick a subset of feature permissions and pages.
3. Save.</t>
  </si>
  <si>
    <t xml:space="preserve">Role is created and appears in the list; an audit entry (ROLE_CREATED) is written.</t>
  </si>
  <si>
    <t xml:space="preserve">RBAC-03</t>
  </si>
  <si>
    <t xml:space="preserve">Clone and edit a role</t>
  </si>
  <si>
    <t xml:space="preserve">At least one role exists</t>
  </si>
  <si>
    <t xml:space="preserve">1. Clone an existing role.
2. Adjust permissions and save.</t>
  </si>
  <si>
    <t xml:space="preserve">Cloned role inherits then diverges; changes persist and are audited.</t>
  </si>
  <si>
    <t xml:space="preserve">RBAC-04</t>
  </si>
  <si>
    <t xml:space="preserve">Assign a role to a user</t>
  </si>
  <si>
    <t xml:space="preserve">A custom role and a user exist</t>
  </si>
  <si>
    <t xml:space="preserve">1. Open Assign roles.
2. Assign the role to a user; save.</t>
  </si>
  <si>
    <t xml:space="preserve">User gains the role; enforcement applies on their next API call (web and mobile).</t>
  </si>
  <si>
    <t xml:space="preserve">RBAC-05</t>
  </si>
  <si>
    <t xml:space="preserve">Page-gating hides removed pages</t>
  </si>
  <si>
    <t xml:space="preserve">A customised role with a page removed, assigned to a test user</t>
  </si>
  <si>
    <t xml:space="preserve">1. Log in as that user.
2. Inspect the portal navigation.</t>
  </si>
  <si>
    <t xml:space="preserve">Only the removed catalog page is hidden; core nav (dashboard, help, profile, notifications) remains visible.</t>
  </si>
  <si>
    <t xml:space="preserve">RBAC-06</t>
  </si>
  <si>
    <t xml:space="preserve">Fail-open for non-customised roles</t>
  </si>
  <si>
    <t xml:space="preserve">A standard built-in role user</t>
  </si>
  <si>
    <t xml:space="preserve">1. Log in and inspect navigation.</t>
  </si>
  <si>
    <t xml:space="preserve">Full expected navigation shows; nothing is hidden when the role was never customised.</t>
  </si>
  <si>
    <t xml:space="preserve">RBAC-07</t>
  </si>
  <si>
    <t xml:space="preserve">Disable / restore-default a role</t>
  </si>
  <si>
    <t xml:space="preserve">A built-in role overridden</t>
  </si>
  <si>
    <t xml:space="preserve">1. Disable a role, then restore default.</t>
  </si>
  <si>
    <t xml:space="preserve">Disabled role stops granting access; restore returns platform defaults; both audited.</t>
  </si>
  <si>
    <t xml:space="preserve">RBAC-08</t>
  </si>
  <si>
    <t xml:space="preserve">Feature permission enforced server-side</t>
  </si>
  <si>
    <t xml:space="preserve">A role lacking a permission</t>
  </si>
  <si>
    <t xml:space="preserve">1. Call/trigger an action the role can't perform.</t>
  </si>
  <si>
    <t xml:space="preserve">Action is refused by the API regardless of UI state.</t>
  </si>
  <si>
    <t xml:space="preserve">SADM-01</t>
  </si>
  <si>
    <t xml:space="preserve">Super Admin</t>
  </si>
  <si>
    <t xml:space="preserve">Create a tenant (school)</t>
  </si>
  <si>
    <t xml:space="preserve">Logged in as platform super admin; a package exists</t>
  </si>
  <si>
    <t xml:space="preserve">1. Create a school with name, slug, first admin and package.</t>
  </si>
  <si>
    <t xml:space="preserve">School, its config, subscription and first admin are created.</t>
  </si>
  <si>
    <t xml:space="preserve">SADM-02</t>
  </si>
  <si>
    <t xml:space="preserve">Suspend / reactivate / archive a tenant</t>
  </si>
  <si>
    <t xml:space="preserve">A tenant exists</t>
  </si>
  <si>
    <t xml:space="preserve">1. Suspend a tenant, then reactivate, then archive.</t>
  </si>
  <si>
    <t xml:space="preserve">Status transitions apply and are reflected in the tenant list; actions audited.</t>
  </si>
  <si>
    <t xml:space="preserve">SADM-03</t>
  </si>
  <si>
    <t xml:space="preserve">Create / edit a package</t>
  </si>
  <si>
    <t xml:space="preserve">Packages screen open</t>
  </si>
  <si>
    <t xml:space="preserve">1. Create a package (key, name, prices, AI limit, features).
2. Edit its price and save.</t>
  </si>
  <si>
    <t xml:space="preserve">Package is stored and editable without a code deploy; visible on the create-tenant form.</t>
  </si>
  <si>
    <t xml:space="preserve">SADM-04</t>
  </si>
  <si>
    <t xml:space="preserve">Activate / deactivate a package</t>
  </si>
  <si>
    <t xml:space="preserve">A package exists</t>
  </si>
  <si>
    <t xml:space="preserve">1. Toggle a package inactive, then active.</t>
  </si>
  <si>
    <t xml:space="preserve">Inactive packages are hidden from tenant creation; toggling works.</t>
  </si>
  <si>
    <t xml:space="preserve">SADM-05</t>
  </si>
  <si>
    <t xml:space="preserve">Subscriptions view &amp; renewal reminders</t>
  </si>
  <si>
    <t xml:space="preserve">Subscriptions exist with renewal dates</t>
  </si>
  <si>
    <t xml:space="preserve">1. Open Subscriptions.</t>
  </si>
  <si>
    <t xml:space="preserve">KPIs (due soon, overdue, pending approval) and per-row renewal/reminder labels display.</t>
  </si>
  <si>
    <t xml:space="preserve">SADM-06</t>
  </si>
  <si>
    <t xml:space="preserve">Manual-approval override on renewal</t>
  </si>
  <si>
    <t xml:space="preserve">A subscription set to manual approval</t>
  </si>
  <si>
    <t xml:space="preserve">1. Set a subscription to manual approval.
2. Approve/reject a held renewal.</t>
  </si>
  <si>
    <t xml:space="preserve">Renewal holds as pending; approve/reject updates status and is audited.</t>
  </si>
  <si>
    <t xml:space="preserve">SADM-07</t>
  </si>
  <si>
    <t xml:space="preserve">Parent revenue dashboard</t>
  </si>
  <si>
    <t xml:space="preserve">Parent subscriptions exist</t>
  </si>
  <si>
    <t xml:space="preserve">1. Open Parent Revenue.</t>
  </si>
  <si>
    <t xml:space="preserve">Active count, MRR/ARR/ARPU and per-school breakdown display; no card data shown (opaque references only).</t>
  </si>
  <si>
    <t xml:space="preserve">SPLT-01</t>
  </si>
  <si>
    <t xml:space="preserve">Create &amp; send an email campaign</t>
  </si>
  <si>
    <t xml:space="preserve">Email provider configured</t>
  </si>
  <si>
    <t xml:space="preserve">1. Compose a campaign, pick an audience, send test, then send.</t>
  </si>
  <si>
    <t xml:space="preserve">Audience resolves de-duped; send is recorded; open/click tracking populates the campaign report.</t>
  </si>
  <si>
    <t xml:space="preserve">SPLT-02</t>
  </si>
  <si>
    <t xml:space="preserve">Website subscribe capture</t>
  </si>
  <si>
    <t xml:space="preserve">Public site form available</t>
  </si>
  <si>
    <t xml:space="preserve">1. Submit the public 'subscribe now' form.</t>
  </si>
  <si>
    <t xml:space="preserve">A CRM subscriber is created with consent; one-click unsubscribe works.</t>
  </si>
  <si>
    <t xml:space="preserve">SPLT-03</t>
  </si>
  <si>
    <t xml:space="preserve">CMS page publish &amp; public render</t>
  </si>
  <si>
    <t xml:space="preserve">Logged in as super admin</t>
  </si>
  <si>
    <t xml:space="preserve">1. Create a CMS page (slug, SEO, body), publish.
2. Fetch the public page/API.</t>
  </si>
  <si>
    <t xml:space="preserve">Draft is hidden; published page renders and is served via the public (CORS-open) API.</t>
  </si>
  <si>
    <t xml:space="preserve">SPLT-04</t>
  </si>
  <si>
    <t xml:space="preserve">Template library share to tenants</t>
  </si>
  <si>
    <t xml:space="preserve">1. Create an email/message template, mark shared.</t>
  </si>
  <si>
    <t xml:space="preserve">Tenant admins see shared plus their own templates; version history is retained.</t>
  </si>
  <si>
    <t xml:space="preserve">SPLT-05</t>
  </si>
  <si>
    <t xml:space="preserve">FAQ management + bulk import</t>
  </si>
  <si>
    <t xml:space="preserve">Super admin console</t>
  </si>
  <si>
    <t xml:space="preserve">1. Create/edit/publish a FAQ; run a CSV/JSON bulk import.</t>
  </si>
  <si>
    <t xml:space="preserve">FAQs manage correctly; published FAQs appear in Help on web and mobile.</t>
  </si>
  <si>
    <t xml:space="preserve">SPLT-06</t>
  </si>
  <si>
    <t xml:space="preserve">Announcement (global) with banner</t>
  </si>
  <si>
    <t xml:space="preserve">1. Publish a global notice with priority.</t>
  </si>
  <si>
    <t xml:space="preserve">Login banner shows the top-priority notice for all roles; dismiss ≠ read; centre tracks read state.</t>
  </si>
  <si>
    <t xml:space="preserve">SPLT-07</t>
  </si>
  <si>
    <t xml:space="preserve">Platform report generation</t>
  </si>
  <si>
    <t xml:space="preserve">Data exists</t>
  </si>
  <si>
    <t xml:space="preserve">1. Generate usage/subscription/engagement reports in CSV/PDF/JSON.</t>
  </si>
  <si>
    <t xml:space="preserve">Reports generate and download in each format.</t>
  </si>
  <si>
    <t xml:space="preserve">SPLT-08</t>
  </si>
  <si>
    <t xml:space="preserve">Live email config &amp; test</t>
  </si>
  <si>
    <t xml:space="preserve">SMTP/provider keys available</t>
  </si>
  <si>
    <t xml:space="preserve">1. Set provider + from address, run send-test.</t>
  </si>
  <si>
    <t xml:space="preserve">Encrypted key stored (never returned); verified badge shows on a successful test.</t>
  </si>
  <si>
    <t xml:space="preserve">IMP-01</t>
  </si>
  <si>
    <t xml:space="preserve">Super Admin / School</t>
  </si>
  <si>
    <t xml:space="preserve">Request &amp; approve support access</t>
  </si>
  <si>
    <t xml:space="preserve">A support-access-capable admin</t>
  </si>
  <si>
    <t xml:space="preserve">1. Raise a support-access request for a target user.
2. Approve it.</t>
  </si>
  <si>
    <t xml:space="preserve">A time-bound, guarded impersonation session is created only after approval.</t>
  </si>
  <si>
    <t xml:space="preserve">IMP-02</t>
  </si>
  <si>
    <t xml:space="preserve">Actions attributed to the admin</t>
  </si>
  <si>
    <t xml:space="preserve">An active support session</t>
  </si>
  <si>
    <t xml:space="preserve">1. Perform an auditable action while impersonating.</t>
  </si>
  <si>
    <t xml:space="preserve">Every audit entry records the impersonating admin (impersonatedBy); history shows a 'via support' indicator.</t>
  </si>
  <si>
    <t xml:space="preserve">IMP-03</t>
  </si>
  <si>
    <t xml:space="preserve">Time-bound expiry &amp; revoke</t>
  </si>
  <si>
    <t xml:space="preserve">1. Wait for expiry or revoke the grant.</t>
  </si>
  <si>
    <t xml:space="preserve">Impersonation stops; the admin reverts to their own session; no lingering access.</t>
  </si>
  <si>
    <t xml:space="preserve">IMP-04</t>
  </si>
  <si>
    <t xml:space="preserve">Normal auth unaffected</t>
  </si>
  <si>
    <t xml:space="preserve">No impersonation active</t>
  </si>
  <si>
    <t xml:space="preserve">1. Log in normally.</t>
  </si>
  <si>
    <t xml:space="preserve">Standard session works; impersonation path never activates without a valid grant.</t>
  </si>
  <si>
    <t xml:space="preserve">PPL-01</t>
  </si>
  <si>
    <t xml:space="preserve">Create a pupil record</t>
  </si>
  <si>
    <t xml:space="preserve">MANAGE_USERS permission</t>
  </si>
  <si>
    <t xml:space="preserve">1. Add a pupil with reference, name, year, class, indicators.</t>
  </si>
  <si>
    <t xml:space="preserve">Pupil is created with a school-unique reference and appears in the list.</t>
  </si>
  <si>
    <t xml:space="preserve">PPL-02</t>
  </si>
  <si>
    <t xml:space="preserve">Link guardians &amp; set flags</t>
  </si>
  <si>
    <t xml:space="preserve">A pupil exists</t>
  </si>
  <si>
    <t xml:space="preserve">1. Add a guardian with relationship, primary/emergency, collection authorisation.</t>
  </si>
  <si>
    <t xml:space="preserve">Guardian link is created with the specified flags; many-to-many supported.</t>
  </si>
  <si>
    <t xml:space="preserve">PPL-03</t>
  </si>
  <si>
    <t xml:space="preserve">Guardian relationship workflow</t>
  </si>
  <si>
    <t xml:space="preserve">1. Create relationship, invite, guardian verifies, platform validates.</t>
  </si>
  <si>
    <t xml:space="preserve">A GuardianLink is created only via this path; every transition writes a GuardianAudit row.</t>
  </si>
  <si>
    <t xml:space="preserve">PPL-04</t>
  </si>
  <si>
    <t xml:space="preserve">CSV import pupils with errors</t>
  </si>
  <si>
    <t xml:space="preserve">Import template downloaded</t>
  </si>
  <si>
    <t xml:space="preserve">1. Import a CSV containing some invalid rows.</t>
  </si>
  <si>
    <t xml:space="preserve">Valid rows import; invalid rows are reported per-row; batch history retained.</t>
  </si>
  <si>
    <t xml:space="preserve">PPL-05</t>
  </si>
  <si>
    <t xml:space="preserve">Emergency contacts &amp; collectors</t>
  </si>
  <si>
    <t xml:space="preserve">1. Add prioritised emergency contacts and approved collectors.</t>
  </si>
  <si>
    <t xml:space="preserve">Records save and display against the pupil.</t>
  </si>
  <si>
    <t xml:space="preserve">PPL-06</t>
  </si>
  <si>
    <t xml:space="preserve">Amend / suspend / revoke guardian access</t>
  </si>
  <si>
    <t xml:space="preserve">An active relationship</t>
  </si>
  <si>
    <t xml:space="preserve">1. Suspend then revoke a guardian relationship.</t>
  </si>
  <si>
    <t xml:space="preserve">Access changes accordingly; each action audited.</t>
  </si>
  <si>
    <t xml:space="preserve">CAL-01</t>
  </si>
  <si>
    <t xml:space="preserve">Create a calendar event with audience</t>
  </si>
  <si>
    <t xml:space="preserve">MANAGE_CALENDAR</t>
  </si>
  <si>
    <t xml:space="preserve">1. Create an event scoped to a year/class with logistics.</t>
  </si>
  <si>
    <t xml:space="preserve">Event saves; only the targeted audience sees it.</t>
  </si>
  <si>
    <t xml:space="preserve">CAL-02</t>
  </si>
  <si>
    <t xml:space="preserve">Consent-required event</t>
  </si>
  <si>
    <t xml:space="preserve">An event with consent required</t>
  </si>
  <si>
    <t xml:space="preserve">1. Create a consent-required event.</t>
  </si>
  <si>
    <t xml:space="preserve">It appears as an outstanding action to targeted parents with give/decline.</t>
  </si>
  <si>
    <t xml:space="preserve">CAL-03</t>
  </si>
  <si>
    <t xml:space="preserve">Homework creation</t>
  </si>
  <si>
    <t xml:space="preserve">1. Add homework to a class/year with a due date.</t>
  </si>
  <si>
    <t xml:space="preserve">Homework shows to the correct pupils/parents.</t>
  </si>
  <si>
    <t xml:space="preserve">CAL-04</t>
  </si>
  <si>
    <t xml:space="preserve">Attendance register</t>
  </si>
  <si>
    <t xml:space="preserve">Teacher/admin scope</t>
  </si>
  <si>
    <t xml:space="preserve">1. Open a register, mark present/absent, save.</t>
  </si>
  <si>
    <t xml:space="preserve">Marks upsert per pupil/date/session.</t>
  </si>
  <si>
    <t xml:space="preserve">CAL-05</t>
  </si>
  <si>
    <t xml:space="preserve">Behaviour/reward record</t>
  </si>
  <si>
    <t xml:space="preserve">1. Add a reward/behaviour record for a pupil.</t>
  </si>
  <si>
    <t xml:space="preserve">Record saves with points/source; guardian notified per preferences and restrictions.</t>
  </si>
  <si>
    <t xml:space="preserve">CAL-06</t>
  </si>
  <si>
    <t xml:space="preserve">Calendar multi-view (parent)</t>
  </si>
  <si>
    <t xml:space="preserve">Parent with children</t>
  </si>
  <si>
    <t xml:space="preserve">1. In the parent calendar switch Day/Week/Month/Quarter/Year/List.</t>
  </si>
  <si>
    <t xml:space="preserve">All views render; entries are clickable and hoverable; quarter/year drill into day.</t>
  </si>
  <si>
    <t xml:space="preserve">KNOW-01</t>
  </si>
  <si>
    <t xml:space="preserve">Document lifecycle</t>
  </si>
  <si>
    <t xml:space="preserve">MANAGE_KNOWLEDGE</t>
  </si>
  <si>
    <t xml:space="preserve">1. Create a document, move draft→approved→published.</t>
  </si>
  <si>
    <t xml:space="preserve">Lifecycle transitions apply; only published + audience-matched docs reach parents.</t>
  </si>
  <si>
    <t xml:space="preserve">KNOW-02</t>
  </si>
  <si>
    <t xml:space="preserve">Document versioning</t>
  </si>
  <si>
    <t xml:space="preserve">A published document</t>
  </si>
  <si>
    <t xml:space="preserve">1. Create a new version (supersede).</t>
  </si>
  <si>
    <t xml:space="preserve">Version increments; prior version superseded; searchable body retained.</t>
  </si>
  <si>
    <t xml:space="preserve">KNOW-03</t>
  </si>
  <si>
    <t xml:space="preserve">Policies with acknowledgement</t>
  </si>
  <si>
    <t xml:space="preserve">1. Publish a policy requiring acknowledgement.</t>
  </si>
  <si>
    <t xml:space="preserve">Targeted parents/teachers see it and can acknowledge; acknowledgements recorded.</t>
  </si>
  <si>
    <t xml:space="preserve">KNOW-04</t>
  </si>
  <si>
    <t xml:space="preserve">Meals &amp; menus</t>
  </si>
  <si>
    <t xml:space="preserve">1. Add menu items with allergens/dietary tags.</t>
  </si>
  <si>
    <t xml:space="preserve">Menu shows to parents with dietary/allergen filters, tagged per child.</t>
  </si>
  <si>
    <t xml:space="preserve">KNOW-05</t>
  </si>
  <si>
    <t xml:space="preserve">Clubs &amp; activities</t>
  </si>
  <si>
    <t xml:space="preserve">1. Create a club, enrol pupils.</t>
  </si>
  <si>
    <t xml:space="preserve">Club and membership save; visible to relevant parents.</t>
  </si>
  <si>
    <t xml:space="preserve">COMM-01</t>
  </si>
  <si>
    <t xml:space="preserve">School Admin / Parent</t>
  </si>
  <si>
    <t xml:space="preserve">Targeted broadcast</t>
  </si>
  <si>
    <t xml:space="preserve">MANAGE comms</t>
  </si>
  <si>
    <t xml:space="preserve">1. Compose a message targeting a class/route; send.</t>
  </si>
  <si>
    <t xml:space="preserve">Per-recipient notifications created; delivery history shows counts.</t>
  </si>
  <si>
    <t xml:space="preserve">COMM-02</t>
  </si>
  <si>
    <t xml:space="preserve">Emergency override</t>
  </si>
  <si>
    <t xml:space="preserve">Recipients with quiet hours/prefs</t>
  </si>
  <si>
    <t xml:space="preserve">1. Send an emergency broadcast.</t>
  </si>
  <si>
    <t xml:space="preserve">Emergency delivers despite preferences and quiet hours.</t>
  </si>
  <si>
    <t xml:space="preserve">COMM-03</t>
  </si>
  <si>
    <t xml:space="preserve">SMS / WhatsApp channel + consent</t>
  </si>
  <si>
    <t xml:space="preserve">Parent with number; WhatsApp opt-in / SMS opt-out</t>
  </si>
  <si>
    <t xml:space="preserve">1. Send via SMS and WhatsApp.</t>
  </si>
  <si>
    <t xml:space="preserve">Delivery respects consent (WhatsApp opt-in, SMS opt-out); emergencies excepted.</t>
  </si>
  <si>
    <t xml:space="preserve">COMM-04</t>
  </si>
  <si>
    <t xml:space="preserve">Parent self-service consent</t>
  </si>
  <si>
    <t xml:space="preserve">Parent app/web</t>
  </si>
  <si>
    <t xml:space="preserve">1. Set mobile number, toggle WhatsApp/SMS.</t>
  </si>
  <si>
    <t xml:space="preserve">Preferences save and are audited; masked number displayed.</t>
  </si>
  <si>
    <t xml:space="preserve">COMM-05</t>
  </si>
  <si>
    <t xml:space="preserve">Delivery report</t>
  </si>
  <si>
    <t xml:space="preserve">Messages sent</t>
  </si>
  <si>
    <t xml:space="preserve">1. Open the per-channel delivery report; export CSV.</t>
  </si>
  <si>
    <t xml:space="preserve">Funnel (queued→sent→delivered→read→failed) and consent snapshot display; CSV exports.</t>
  </si>
  <si>
    <t xml:space="preserve">COMM-06</t>
  </si>
  <si>
    <t xml:space="preserve">Directed messaging rules</t>
  </si>
  <si>
    <t xml:space="preserve">Parent with a child</t>
  </si>
  <si>
    <t xml:space="preserve">1. As a parent, open messaging.</t>
  </si>
  <si>
    <t xml:space="preserve">Parent can message only staff linked to their child (admins, class teachers, assigned drivers); never other parents.</t>
  </si>
  <si>
    <t xml:space="preserve">COMM-07</t>
  </si>
  <si>
    <t xml:space="preserve">Notification preferences</t>
  </si>
  <si>
    <t xml:space="preserve">Any user</t>
  </si>
  <si>
    <t xml:space="preserve">1. Set channels, categories and frequency.</t>
  </si>
  <si>
    <t xml:space="preserve">Preferences save and are enforced; the 'security' category stays locked on.</t>
  </si>
  <si>
    <t xml:space="preserve">REP-01</t>
  </si>
  <si>
    <t xml:space="preserve">School Admin / Teacher / Parent</t>
  </si>
  <si>
    <t xml:space="preserve">Teacher drafts &amp; submits a report</t>
  </si>
  <si>
    <t xml:space="preserve">Teacher scope</t>
  </si>
  <si>
    <t xml:space="preserve">1. As a teacher, write a pupil report and submit.</t>
  </si>
  <si>
    <t xml:space="preserve">Draft is created and submitted for approval; teacher can edit only their own draft/submitted report.</t>
  </si>
  <si>
    <t xml:space="preserve">REP-02</t>
  </si>
  <si>
    <t xml:space="preserve">Leadership approves &amp; schedules</t>
  </si>
  <si>
    <t xml:space="preserve">A submitted release</t>
  </si>
  <si>
    <t xml:space="preserve">1. Approve and set an embargo release time.</t>
  </si>
  <si>
    <t xml:space="preserve">Release moves to scheduled; child reports mirror the batch status.</t>
  </si>
  <si>
    <t xml:space="preserve">REP-03</t>
  </si>
  <si>
    <t xml:space="preserve">Embargo hides from parents</t>
  </si>
  <si>
    <t xml:space="preserve">A scheduled (future) release</t>
  </si>
  <si>
    <t xml:space="preserve">1. As a parent, look for the report before release time.</t>
  </si>
  <si>
    <t xml:space="preserve">Report is not visible until the embargo passes / release now.</t>
  </si>
  <si>
    <t xml:space="preserve">REP-04</t>
  </si>
  <si>
    <t xml:space="preserve">Release &amp; notify</t>
  </si>
  <si>
    <t xml:space="preserve">A scheduled release at/after embargo</t>
  </si>
  <si>
    <t xml:space="preserve">1. Trigger release (auto or 'release now').</t>
  </si>
  <si>
    <t xml:space="preserve">Reports publish; parents notified via their channel preferences; first-view read receipts recorded.</t>
  </si>
  <si>
    <t xml:space="preserve">REP-05</t>
  </si>
  <si>
    <t xml:space="preserve">Every transition audited</t>
  </si>
  <si>
    <t xml:space="preserve">1. Review the audit trail after a full cycle.</t>
  </si>
  <si>
    <t xml:space="preserve">Draft/submit/approve/schedule/release/view are all audited.</t>
  </si>
  <si>
    <t xml:space="preserve">INTG-01</t>
  </si>
  <si>
    <t xml:space="preserve">Connect an integration</t>
  </si>
  <si>
    <t xml:space="preserve">MANAGE_INTEGRATIONS</t>
  </si>
  <si>
    <t xml:space="preserve">1. Connect a catalogue connector, set config.</t>
  </si>
  <si>
    <t xml:space="preserve">Integration created with status and a unique webhook token.</t>
  </si>
  <si>
    <t xml:space="preserve">INTG-02</t>
  </si>
  <si>
    <t xml:space="preserve">Field mapping &amp; transforms</t>
  </si>
  <si>
    <t xml:space="preserve">An integration exists</t>
  </si>
  <si>
    <t xml:space="preserve">1. Edit field mappings with transforms.</t>
  </si>
  <si>
    <t xml:space="preserve">Mappings save; AI-suggested mappings require approval.</t>
  </si>
  <si>
    <t xml:space="preserve">INTG-03</t>
  </si>
  <si>
    <t xml:space="preserve">Run/retry a sync</t>
  </si>
  <si>
    <t xml:space="preserve">A CSV/JSON connector</t>
  </si>
  <si>
    <t xml:space="preserve">1. Run a sync; force an error; retry.</t>
  </si>
  <si>
    <t xml:space="preserve">Sync-run history, logs, provenance and an error queue are produced.</t>
  </si>
  <si>
    <t xml:space="preserve">INTG-04</t>
  </si>
  <si>
    <t xml:space="preserve">Encrypted credential vault</t>
  </si>
  <si>
    <t xml:space="preserve">A connector needing secrets</t>
  </si>
  <si>
    <t xml:space="preserve">1. Save a secret; view the integration.</t>
  </si>
  <si>
    <t xml:space="preserve">Secret is stored encrypted and never returned in plaintext; masked hint only.</t>
  </si>
  <si>
    <t xml:space="preserve">INTG-05</t>
  </si>
  <si>
    <t xml:space="preserve">Source-of-truth write-back gate</t>
  </si>
  <si>
    <t xml:space="preserve">Write-back configured</t>
  </si>
  <si>
    <t xml:space="preserve">1. Attempt a write-back.</t>
  </si>
  <si>
    <t xml:space="preserve">Only allowed when supported, enabled, permitted, approved and logged.</t>
  </si>
  <si>
    <t xml:space="preserve">INTG-06</t>
  </si>
  <si>
    <t xml:space="preserve">Behaviour ingestion via webhook</t>
  </si>
  <si>
    <t xml:space="preserve">A behaviour connector token</t>
  </si>
  <si>
    <t xml:space="preserve">1. POST a signed behaviour event to the webhook.</t>
  </si>
  <si>
    <t xml:space="preserve">Event matches the pupil idempotently, records provenance, notifies guardians honouring restrictions.</t>
  </si>
  <si>
    <t xml:space="preserve">TRN-01</t>
  </si>
  <si>
    <t xml:space="preserve">Transport</t>
  </si>
  <si>
    <t xml:space="preserve">Routes, stops &amp; vehicles</t>
  </si>
  <si>
    <t xml:space="preserve">MANAGE_TRANSPORT</t>
  </si>
  <si>
    <t xml:space="preserve">1. Create a route with stops; add a vehicle.</t>
  </si>
  <si>
    <t xml:space="preserve">Route/stops/vehicle save; capacity and driver assignable.</t>
  </si>
  <si>
    <t xml:space="preserve">TRN-02</t>
  </si>
  <si>
    <t xml:space="preserve">Generate daily journeys</t>
  </si>
  <si>
    <t xml:space="preserve">Routes &amp; profiles exist</t>
  </si>
  <si>
    <t xml:space="preserve">1. Generate AM/PM journeys for a date.</t>
  </si>
  <si>
    <t xml:space="preserve">Journeys generate idempotently for the session/day.</t>
  </si>
  <si>
    <t xml:space="preserve">TRN-03</t>
  </si>
  <si>
    <t xml:space="preserve">Fleet compliance reminders</t>
  </si>
  <si>
    <t xml:space="preserve">Vehicles exist</t>
  </si>
  <si>
    <t xml:space="preserve">1. Set MOT/insurance/service/tax due dates.</t>
  </si>
  <si>
    <t xml:space="preserve">Due/overdue badges surface on the fleet view.</t>
  </si>
  <si>
    <t xml:space="preserve">TRN-04</t>
  </si>
  <si>
    <t xml:space="preserve">Driver profiles &amp; assignment</t>
  </si>
  <si>
    <t xml:space="preserve">Drivers exist</t>
  </si>
  <si>
    <t xml:space="preserve">1. Add licence/DBS/medical; assign to routes.</t>
  </si>
  <si>
    <t xml:space="preserve">Profiles save; assignment works; last driver on a route cannot be removed.</t>
  </si>
  <si>
    <t xml:space="preserve">TRN-05</t>
  </si>
  <si>
    <t xml:space="preserve">Incident log &amp; resolve</t>
  </si>
  <si>
    <t xml:space="preserve">1. Log an incident; acknowledge; resolve with a note.</t>
  </si>
  <si>
    <t xml:space="preserve">Incident lifecycle transitions and resolution note persist.</t>
  </si>
  <si>
    <t xml:space="preserve">TRN-06</t>
  </si>
  <si>
    <t xml:space="preserve">Two-way office↔driver messaging</t>
  </si>
  <si>
    <t xml:space="preserve">A driver exists</t>
  </si>
  <si>
    <t xml:space="preserve">1. Send a message to a driver.</t>
  </si>
  <si>
    <t xml:space="preserve">Thread is delivered; unread badge updates.</t>
  </si>
  <si>
    <t xml:space="preserve">DRV-01</t>
  </si>
  <si>
    <t xml:space="preserve">Driver</t>
  </si>
  <si>
    <t xml:space="preserve">View today's journeys</t>
  </si>
  <si>
    <t xml:space="preserve">Driver with assigned journeys</t>
  </si>
  <si>
    <t xml:space="preserve">1. Open the driver home/journeys.</t>
  </si>
  <si>
    <t xml:space="preserve">Assigned journeys and roster (with medical flags) display.</t>
  </si>
  <si>
    <t xml:space="preserve">DRV-02</t>
  </si>
  <si>
    <t xml:space="preserve">Boarding actions fire notifications</t>
  </si>
  <si>
    <t xml:space="preserve">An active journey</t>
  </si>
  <si>
    <t xml:space="preserve">1. Start, board a pupil, mark absent, drop off, complete.</t>
  </si>
  <si>
    <t xml:space="preserve">Each action updates status and fires the matching parent notification.</t>
  </si>
  <si>
    <t xml:space="preserve">DRV-03</t>
  </si>
  <si>
    <t xml:space="preserve">Vehicle pre-trip check</t>
  </si>
  <si>
    <t xml:space="preserve">1. Complete the walk-around; fail one item.</t>
  </si>
  <si>
    <t xml:space="preserve">A failed check auto-raises a high-severity transport incident.</t>
  </si>
  <si>
    <t xml:space="preserve">DRV-04</t>
  </si>
  <si>
    <t xml:space="preserve">Scoped driver search</t>
  </si>
  <si>
    <t xml:space="preserve">Driver with routes</t>
  </si>
  <si>
    <t xml:space="preserve">1. Search for a passenger/route/journey.</t>
  </si>
  <si>
    <t xml:space="preserve">Only the driver's assigned routes, passengers and journeys are returned.</t>
  </si>
  <si>
    <t xml:space="preserve">DRV-05</t>
  </si>
  <si>
    <t xml:space="preserve">Offline boarding queue (mobile)</t>
  </si>
  <si>
    <t xml:space="preserve">Mobile driver app, offline</t>
  </si>
  <si>
    <t xml:space="preserve">1. Record boardings offline; reconnect.</t>
  </si>
  <si>
    <t xml:space="preserve">Writes queue and auto-flush on reconnect; no data loss.</t>
  </si>
  <si>
    <t xml:space="preserve">PAR-01</t>
  </si>
  <si>
    <t xml:space="preserve">Parent</t>
  </si>
  <si>
    <t xml:space="preserve">Multi-child dashboard</t>
  </si>
  <si>
    <t xml:space="preserve">Parent with 2+ children</t>
  </si>
  <si>
    <t xml:space="preserve">1. Open the parent dashboard.</t>
  </si>
  <si>
    <t xml:space="preserve">Per-child cards, upcoming events/trips, homework, reports, outstanding actions across all children.</t>
  </si>
  <si>
    <t xml:space="preserve">PAR-02</t>
  </si>
  <si>
    <t xml:space="preserve">Own-children scoping</t>
  </si>
  <si>
    <t xml:space="preserve">Parent account</t>
  </si>
  <si>
    <t xml:space="preserve">1. Attempt to view another family's pupil/data.</t>
  </si>
  <si>
    <t xml:space="preserve">Only the parent's own children's information is accessible; others are denied.</t>
  </si>
  <si>
    <t xml:space="preserve">PAR-03</t>
  </si>
  <si>
    <t xml:space="preserve">Live bus tracking (safeguarding)</t>
  </si>
  <si>
    <t xml:space="preserve">Complete-level transport, child on a route</t>
  </si>
  <si>
    <t xml:space="preserve">1. Open transport tracking for the child.</t>
  </si>
  <si>
    <t xml:space="preserve">Approximate location, ETA and status for own child only; no full routes/other addresses; stops on completion.</t>
  </si>
  <si>
    <t xml:space="preserve">PAR-04</t>
  </si>
  <si>
    <t xml:space="preserve">Consent give/decline</t>
  </si>
  <si>
    <t xml:space="preserve">A consent-required event</t>
  </si>
  <si>
    <t xml:space="preserve">1. Give then change consent.</t>
  </si>
  <si>
    <t xml:space="preserve">Consent records and updates; reflected as an outstanding action.</t>
  </si>
  <si>
    <t xml:space="preserve">PAR-05</t>
  </si>
  <si>
    <t xml:space="preserve">Menu, rewards &amp; reports</t>
  </si>
  <si>
    <t xml:space="preserve">1. Open menu, rewards and reports centre.</t>
  </si>
  <si>
    <t xml:space="preserve">Dietary/allergen filters work; rewards honour restrictions; report centre exports PDF.</t>
  </si>
  <si>
    <t xml:space="preserve">PAR-06</t>
  </si>
  <si>
    <t xml:space="preserve">Notifications centre</t>
  </si>
  <si>
    <t xml:space="preserve">Notifications exist</t>
  </si>
  <si>
    <t xml:space="preserve">1. Filter by type; mark read; deep-link.</t>
  </si>
  <si>
    <t xml:space="preserve">Filters, per-item and mark-all read, and deep links to the relevant page work.</t>
  </si>
  <si>
    <t xml:space="preserve">PAR-07</t>
  </si>
  <si>
    <t xml:space="preserve">Add personal calendar entry</t>
  </si>
  <si>
    <t xml:space="preserve">1. Add a family calendar entry.</t>
  </si>
  <si>
    <t xml:space="preserve">Personal entry shows alongside connected feeds.</t>
  </si>
  <si>
    <t xml:space="preserve">TCH-01</t>
  </si>
  <si>
    <t xml:space="preserve">Teacher</t>
  </si>
  <si>
    <t xml:space="preserve">Scope to assigned pupils only</t>
  </si>
  <si>
    <t xml:space="preserve">Teacher with class/subject/trip assignments</t>
  </si>
  <si>
    <t xml:space="preserve">1. Open My pupils; attempt to access an unassigned pupil.</t>
  </si>
  <si>
    <t xml:space="preserve">Only assigned pupils are visible; unassigned returns 403.</t>
  </si>
  <si>
    <t xml:space="preserve">TCH-02</t>
  </si>
  <si>
    <t xml:space="preserve">Attendance &amp; behaviour</t>
  </si>
  <si>
    <t xml:space="preserve">1. Mark a register; log a behaviour record.</t>
  </si>
  <si>
    <t xml:space="preserve">Marks and records save under the teacher's name/scope.</t>
  </si>
  <si>
    <t xml:space="preserve">TCH-03</t>
  </si>
  <si>
    <t xml:space="preserve">Scoped teacher search</t>
  </si>
  <si>
    <t xml:space="preserve">1. Search pupils/timetable/trips/reports/behaviour.</t>
  </si>
  <si>
    <t xml:space="preserve">Results are limited strictly to the teacher's scope; CSV export works.</t>
  </si>
  <si>
    <t xml:space="preserve">TCH-04</t>
  </si>
  <si>
    <t xml:space="preserve">Trips &amp; headcount</t>
  </si>
  <si>
    <t xml:space="preserve">Teacher on a trip</t>
  </si>
  <si>
    <t xml:space="preserve">1. Post a trip update / headcount.</t>
  </si>
  <si>
    <t xml:space="preserve">Update feeds the timeline and parent notifications.</t>
  </si>
  <si>
    <t xml:space="preserve">TCH-05</t>
  </si>
  <si>
    <t xml:space="preserve">Scoped AI assistant</t>
  </si>
  <si>
    <t xml:space="preserve">1. Ask the assistant about pupils.</t>
  </si>
  <si>
    <t xml:space="preserve">Answers only from assigned pupils + non-personal whole-school info; never other pupils.</t>
  </si>
  <si>
    <t xml:space="preserve">AI-01</t>
  </si>
  <si>
    <t xml:space="preserve">All roles</t>
  </si>
  <si>
    <t xml:space="preserve">Permission-filtered retrieval</t>
  </si>
  <si>
    <t xml:space="preserve">Any role</t>
  </si>
  <si>
    <t xml:space="preserve">1. Ask a question spanning restricted data.</t>
  </si>
  <si>
    <t xml:space="preserve">Retrieval is filtered by role/permission before answering; unauthorised records never surface.</t>
  </si>
  <si>
    <t xml:space="preserve">AI-02</t>
  </si>
  <si>
    <t xml:space="preserve">Grounded answers with citations</t>
  </si>
  <si>
    <t xml:space="preserve">Documents exist</t>
  </si>
  <si>
    <t xml:space="preserve">1. Ask a policy/document question.</t>
  </si>
  <si>
    <t xml:space="preserve">Answer cites source, label and date; no-guess / not-found handled honestly.</t>
  </si>
  <si>
    <t xml:space="preserve">AI-03</t>
  </si>
  <si>
    <t xml:space="preserve">AI drafting requires confirmation</t>
  </si>
  <si>
    <t xml:space="preserve">Staff assistant</t>
  </si>
  <si>
    <t xml:space="preserve">1. Generate a draft communication.</t>
  </si>
  <si>
    <t xml:space="preserve">Draft is created but nothing is issued without explicit human confirmation.</t>
  </si>
  <si>
    <t xml:space="preserve">AI-04</t>
  </si>
  <si>
    <t xml:space="preserve">AI query audited &amp; usage counted</t>
  </si>
  <si>
    <t xml:space="preserve">1. Ask several questions.</t>
  </si>
  <si>
    <t xml:space="preserve">Each query is audited; AI usage counts against the plan allowance.</t>
  </si>
  <si>
    <t xml:space="preserve">TIC-01</t>
  </si>
  <si>
    <t xml:space="preserve">All / School Admin</t>
  </si>
  <si>
    <t xml:space="preserve">Raise a ticket</t>
  </si>
  <si>
    <t xml:space="preserve">Logged in</t>
  </si>
  <si>
    <t xml:space="preserve">1. Create a ticket with category, priority, severity.</t>
  </si>
  <si>
    <t xml:space="preserve">Ticket created with an SH-reference; appears in the requester's list.</t>
  </si>
  <si>
    <t xml:space="preserve">TIC-02</t>
  </si>
  <si>
    <t xml:space="preserve">Lifecycle &amp; assignment</t>
  </si>
  <si>
    <t xml:space="preserve">An open ticket</t>
  </si>
  <si>
    <t xml:space="preserve">1. Move through acknowledge→assign→in-progress→resolved→closed.</t>
  </si>
  <si>
    <t xml:space="preserve">Nine-state lifecycle transitions correctly; SLA tracked.</t>
  </si>
  <si>
    <t xml:space="preserve">TIC-03</t>
  </si>
  <si>
    <t xml:space="preserve">Internal notes &amp; escalation</t>
  </si>
  <si>
    <t xml:space="preserve">A ticket exists</t>
  </si>
  <si>
    <t xml:space="preserve">1. Add an internal note; escalate.</t>
  </si>
  <si>
    <t xml:space="preserve">Internal notes hidden from requester; escalation flagged.</t>
  </si>
  <si>
    <t xml:space="preserve">TIC-04</t>
  </si>
  <si>
    <t xml:space="preserve">Mobile photo attachment</t>
  </si>
  <si>
    <t xml:space="preserve">Mobile app</t>
  </si>
  <si>
    <t xml:space="preserve">1. Attach a photo on a new ticket and on a reply.</t>
  </si>
  <si>
    <t xml:space="preserve">Photos attach (thumbnail preview) and send; inbound attachments render as thumbnails.</t>
  </si>
  <si>
    <t xml:space="preserve">SRCH-01</t>
  </si>
  <si>
    <t xml:space="preserve">All</t>
  </si>
  <si>
    <t xml:space="preserve">School enterprise search</t>
  </si>
  <si>
    <t xml:space="preserve">School admin</t>
  </si>
  <si>
    <t xml:space="preserve">1. Search across pupils, staff, events, docs, etc.</t>
  </si>
  <si>
    <t xml:space="preserve">Grouped results across record types; CSV export works.</t>
  </si>
  <si>
    <t xml:space="preserve">SRCH-02</t>
  </si>
  <si>
    <t xml:space="preserve">Parent search scoping</t>
  </si>
  <si>
    <t xml:space="preserve">1. Search as a parent.</t>
  </si>
  <si>
    <t xml:space="preserve">Only own children and applicable info returned.</t>
  </si>
  <si>
    <t xml:space="preserve">SEC-01</t>
  </si>
  <si>
    <t xml:space="preserve">All / Platform</t>
  </si>
  <si>
    <t xml:space="preserve">Cross-tenant isolation</t>
  </si>
  <si>
    <t xml:space="preserve">Two tenants exist</t>
  </si>
  <si>
    <t xml:space="preserve">1. As tenant A, attempt to read tenant B data via API.</t>
  </si>
  <si>
    <t xml:space="preserve">Access denied; every tenant query is scoped by schoolId.</t>
  </si>
  <si>
    <t xml:space="preserve">SEC-02</t>
  </si>
  <si>
    <t xml:space="preserve">PII masking for platform staff</t>
  </si>
  <si>
    <t xml:space="preserve">Pupil PII present</t>
  </si>
  <si>
    <t xml:space="preserve">1. As platform staff, view pupil data without a grant.</t>
  </si>
  <si>
    <t xml:space="preserve">PII is masked unless a time-boxed, audited unmask grant is issued.</t>
  </si>
  <si>
    <t xml:space="preserve">SEC-03</t>
  </si>
  <si>
    <t xml:space="preserve">Data-subject request</t>
  </si>
  <si>
    <t xml:space="preserve">1. Run an export and an erasure DSR.</t>
  </si>
  <si>
    <t xml:space="preserve">Export bundle produced; erasure fulfilled; both audited.</t>
  </si>
  <si>
    <t xml:space="preserve">SEC-04</t>
  </si>
  <si>
    <t xml:space="preserve">Retention purge</t>
  </si>
  <si>
    <t xml:space="preserve">Retention configured</t>
  </si>
  <si>
    <t xml:space="preserve">1. Run the retention purge.</t>
  </si>
  <si>
    <t xml:space="preserve">Data beyond retention is purged; action audited.</t>
  </si>
  <si>
    <t xml:space="preserve">SEC-05</t>
  </si>
  <si>
    <t xml:space="preserve">Audit completeness</t>
  </si>
  <si>
    <t xml:space="preserve">Perform varied actions</t>
  </si>
  <si>
    <t xml:space="preserve">1. Review the audit trail.</t>
  </si>
  <si>
    <t xml:space="preserve">Privileged actions recorded with actor, tenant, timestamp and target.</t>
  </si>
  <si>
    <t xml:space="preserve">MOB-01</t>
  </si>
  <si>
    <t xml:space="preserve">Mobile</t>
  </si>
  <si>
    <t xml:space="preserve">Role experience selection</t>
  </si>
  <si>
    <t xml:space="preserve">Accounts per role</t>
  </si>
  <si>
    <t xml:space="preserve">1. Log in on mobile as parent/teacher/driver/admin.</t>
  </si>
  <si>
    <t xml:space="preserve">The correct role experience renders from the backend app role.</t>
  </si>
  <si>
    <t xml:space="preserve">MOB-02</t>
  </si>
  <si>
    <t xml:space="preserve">Biometric unlock &amp; keychain</t>
  </si>
  <si>
    <t xml:space="preserve">Biometrics enrolled</t>
  </si>
  <si>
    <t xml:space="preserve">1. Background the app; relaunch.</t>
  </si>
  <si>
    <t xml:space="preserve">Face ID / fingerprint unlock works; session stored in the device keychain.</t>
  </si>
  <si>
    <t xml:space="preserve">MOB-03</t>
  </si>
  <si>
    <t xml:space="preserve">Offline-first &amp; sync</t>
  </si>
  <si>
    <t xml:space="preserve">Any role, offline</t>
  </si>
  <si>
    <t xml:space="preserve">1. Read cached data offline; make a write; reconnect.</t>
  </si>
  <si>
    <t xml:space="preserve">Cache-first reads work; queued writes auto-flush on reconnect.</t>
  </si>
  <si>
    <t xml:space="preserve">MOB-04</t>
  </si>
  <si>
    <t xml:space="preserve">Push notifications</t>
  </si>
  <si>
    <t xml:space="preserve">Push credentials configured</t>
  </si>
  <si>
    <t xml:space="preserve">1. Trigger a targeted notification.</t>
  </si>
  <si>
    <t xml:space="preserve">Push arrives honouring category, targeting, quiet hours and emergency override.</t>
  </si>
  <si>
    <t xml:space="preserve">MOB-05</t>
  </si>
  <si>
    <t xml:space="preserve">Assistant-first navigation</t>
  </si>
  <si>
    <t xml:space="preserve">1. Open each role's app.</t>
  </si>
  <si>
    <t xml:space="preserve">AI Assistant leads the navigation where the role has one; standardised tabs.</t>
  </si>
  <si>
    <t xml:space="preserve">OPS-01</t>
  </si>
  <si>
    <t xml:space="preserve">Operations dashboard</t>
  </si>
  <si>
    <t xml:space="preserve">1. Open the Operations dashboard.</t>
  </si>
  <si>
    <t xml:space="preserve">Live tiles across attendance, transport, trips, engagement, AI and integrations render.</t>
  </si>
  <si>
    <t xml:space="preserve">OPS-02</t>
  </si>
  <si>
    <t xml:space="preserve">Reports export</t>
  </si>
  <si>
    <t xml:space="preserve">1. Generate transport/trip/engagement reports; export CSV and PDF.</t>
  </si>
  <si>
    <t xml:space="preserve">Reports compute from real data and export in both formats.</t>
  </si>
  <si>
    <t xml:space="preserve">OPS-03</t>
  </si>
  <si>
    <t xml:space="preserve">Scheduled &amp; trust roll-up</t>
  </si>
  <si>
    <t xml:space="preserve">A trust/group</t>
  </si>
  <si>
    <t xml:space="preserve">1. Configure a scheduled report; view group roll-up.</t>
  </si>
  <si>
    <t xml:space="preserve">Scheduled report configured; trust-level roll-up aggregates member schools.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</si>
</sst>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4A7B"/>
      <name val="Arial"/>
      <family val="0"/>
      <charset val="1"/>
    </font>
    <font>
      <sz val="11"/>
      <color rgb="FF5A6473"/>
      <name val="Arial"/>
      <family val="0"/>
      <charset val="1"/>
    </font>
    <font>
      <sz val="10"/>
      <color rgb="FF5A6473"/>
      <name val="Arial"/>
      <family val="0"/>
      <charset val="1"/>
    </font>
    <font>
      <b val="true"/>
      <sz val="10"/>
      <color rgb="FF2E4A7B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6"/>
      <color rgb="FF2E4A7B"/>
      <name val="Arial"/>
      <family val="0"/>
      <charset val="1"/>
    </font>
    <font>
      <b val="true"/>
      <sz val="12"/>
      <color rgb="FF2E4A7B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2933"/>
      <name val="Arial"/>
      <family val="0"/>
      <charset val="1"/>
    </font>
    <font>
      <b val="true"/>
      <sz val="9"/>
      <color rgb="FF2E4A7B"/>
      <name val="Arial"/>
      <family val="0"/>
      <charset val="1"/>
    </font>
    <font>
      <b val="true"/>
      <sz val="9"/>
      <color rgb="FFB02A2A"/>
      <name val="Arial"/>
      <family val="0"/>
      <charset val="1"/>
    </font>
    <font>
      <b val="true"/>
      <sz val="9"/>
      <color rgb="FF9A5B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5F2"/>
        <bgColor rgb="FFF4F7FB"/>
      </patternFill>
    </fill>
    <fill>
      <patternFill patternType="solid">
        <fgColor rgb="FF2E4A7B"/>
        <bgColor rgb="FF5A6473"/>
      </patternFill>
    </fill>
    <fill>
      <patternFill patternType="solid">
        <fgColor rgb="FFF4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E0"/>
      </left>
      <right style="thin">
        <color rgb="FFC7D2E0"/>
      </right>
      <top style="thin">
        <color rgb="FFC7D2E0"/>
      </top>
      <bottom style="thin">
        <color rgb="FFC7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5B00"/>
      <rgbColor rgb="FF800080"/>
      <rgbColor rgb="FF008080"/>
      <rgbColor rgb="FFC0C0C0"/>
      <rgbColor rgb="FF808080"/>
      <rgbColor rgb="FF9999FF"/>
      <rgbColor rgb="FF993366"/>
      <rgbColor rgb="FFF4F7FB"/>
      <rgbColor rgb="FFDCE5F2"/>
      <rgbColor rgb="FF660066"/>
      <rgbColor rgb="FFFF8080"/>
      <rgbColor rgb="FF0066CC"/>
      <rgbColor rgb="FFC7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3"/>
      <rgbColor rgb="FF969696"/>
      <rgbColor rgb="FF003366"/>
      <rgbColor rgb="FF339966"/>
      <rgbColor rgb="FF003300"/>
      <rgbColor rgb="FF333300"/>
      <rgbColor rgb="FFB02A2A"/>
      <rgbColor rgb="FF993366"/>
      <rgbColor rgb="FF2E4A7B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42" hidden="false" customHeight="true" outlineLevel="0" collapsed="false">
      <c r="B6" s="4" t="s">
        <v>3</v>
      </c>
      <c r="C6" s="5" t="s">
        <v>4</v>
      </c>
    </row>
    <row r="7" customFormat="false" ht="42" hidden="false" customHeight="true" outlineLevel="0" collapsed="false">
      <c r="B7" s="4" t="s">
        <v>5</v>
      </c>
      <c r="C7" s="5" t="s">
        <v>6</v>
      </c>
    </row>
    <row r="8" customFormat="false" ht="42" hidden="false" customHeight="true" outlineLevel="0" collapsed="false">
      <c r="B8" s="4" t="s">
        <v>7</v>
      </c>
      <c r="C8" s="5" t="s">
        <v>8</v>
      </c>
    </row>
    <row r="9" customFormat="false" ht="42" hidden="false" customHeight="true" outlineLevel="0" collapsed="false">
      <c r="B9" s="4" t="s">
        <v>9</v>
      </c>
      <c r="C9" s="5" t="s">
        <v>10</v>
      </c>
    </row>
    <row r="10" customFormat="false" ht="42" hidden="false" customHeight="true" outlineLevel="0" collapsed="false">
      <c r="B10" s="4" t="s">
        <v>11</v>
      </c>
      <c r="C10" s="5" t="s">
        <v>12</v>
      </c>
    </row>
    <row r="11" customFormat="false" ht="42" hidden="false" customHeight="true" outlineLevel="0" collapsed="false">
      <c r="B11" s="4" t="s">
        <v>13</v>
      </c>
      <c r="C11" s="5" t="s">
        <v>14</v>
      </c>
    </row>
    <row r="12" customFormat="false" ht="42" hidden="false" customHeight="true" outlineLevel="0" collapsed="false">
      <c r="B12" s="4" t="s">
        <v>15</v>
      </c>
      <c r="C12" s="5" t="s">
        <v>16</v>
      </c>
    </row>
    <row r="13" customFormat="false" ht="42" hidden="false" customHeight="true" outlineLevel="0" collapsed="false">
      <c r="B13" s="4" t="s">
        <v>17</v>
      </c>
      <c r="C13" s="5" t="s">
        <v>18</v>
      </c>
    </row>
    <row r="14" customFormat="false" ht="42" hidden="false" customHeight="true" outlineLevel="0" collapsed="false">
      <c r="B14" s="4" t="s">
        <v>19</v>
      </c>
      <c r="C14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2"/>
  </cols>
  <sheetData>
    <row r="2" customFormat="false" ht="19.7" hidden="false" customHeight="false" outlineLevel="0" collapsed="false">
      <c r="B2" s="6" t="s">
        <v>21</v>
      </c>
    </row>
    <row r="3" customFormat="false" ht="15" hidden="false" customHeight="false" outlineLevel="0" collapsed="false">
      <c r="B3" s="3" t="s">
        <v>22</v>
      </c>
    </row>
    <row r="5" customFormat="false" ht="15" hidden="false" customHeight="false" outlineLevel="0" collapsed="false">
      <c r="B5" s="7" t="s">
        <v>23</v>
      </c>
    </row>
    <row r="6" customFormat="false" ht="15" hidden="false" customHeight="false" outlineLevel="0" collapsed="false">
      <c r="B6" s="8" t="s">
        <v>24</v>
      </c>
      <c r="C6" s="9" t="n">
        <f aca="false">COUNTA('Test Cases'!A2:A119)</f>
        <v>118</v>
      </c>
    </row>
    <row r="7" customFormat="false" ht="15" hidden="false" customHeight="false" outlineLevel="0" collapsed="false">
      <c r="B7" s="8" t="s">
        <v>25</v>
      </c>
      <c r="C7" s="9" t="n">
        <f aca="false">COUNTIF('Test Cases'!J2:J119,"Pass")</f>
        <v>0</v>
      </c>
    </row>
    <row r="8" customFormat="false" ht="15" hidden="false" customHeight="false" outlineLevel="0" collapsed="false">
      <c r="B8" s="8" t="s">
        <v>26</v>
      </c>
      <c r="C8" s="9" t="n">
        <f aca="false">COUNTIF('Test Cases'!J2:J119,"Fail")</f>
        <v>0</v>
      </c>
    </row>
    <row r="9" customFormat="false" ht="15" hidden="false" customHeight="false" outlineLevel="0" collapsed="false">
      <c r="B9" s="8" t="s">
        <v>27</v>
      </c>
      <c r="C9" s="9" t="n">
        <f aca="false">COUNTIF('Test Cases'!J2:J119,"Blocked")</f>
        <v>0</v>
      </c>
    </row>
    <row r="10" customFormat="false" ht="15" hidden="false" customHeight="false" outlineLevel="0" collapsed="false">
      <c r="B10" s="8" t="s">
        <v>28</v>
      </c>
      <c r="C10" s="9" t="n">
        <f aca="false">COUNTIF('Test Cases'!J2:J119,"N/A")</f>
        <v>0</v>
      </c>
    </row>
    <row r="11" customFormat="false" ht="15" hidden="false" customHeight="false" outlineLevel="0" collapsed="false">
      <c r="B11" s="8" t="s">
        <v>29</v>
      </c>
      <c r="C11" s="9" t="n">
        <f aca="false">COUNTIF('Test Cases'!J2:J119,"Not Run")</f>
        <v>118</v>
      </c>
    </row>
    <row r="12" customFormat="false" ht="15" hidden="false" customHeight="false" outlineLevel="0" collapsed="false">
      <c r="B12" s="8" t="s">
        <v>30</v>
      </c>
      <c r="C12" s="10" t="n">
        <f aca="false">IFERROR(COUNTIF('Test Cases'!J2:J119,"Pass")/(COUNTIF('Test Cases'!J2:J119,"Pass")+COUNTIF('Test Cases'!J2:J119,"Fail")),0)</f>
        <v>0</v>
      </c>
    </row>
    <row r="14" customFormat="false" ht="15" hidden="false" customHeight="false" outlineLevel="0" collapsed="false">
      <c r="B14" s="7" t="s">
        <v>31</v>
      </c>
    </row>
    <row r="15" customFormat="false" ht="15" hidden="false" customHeight="false" outlineLevel="0" collapsed="false">
      <c r="B15" s="11" t="s">
        <v>32</v>
      </c>
      <c r="C15" s="11" t="s">
        <v>33</v>
      </c>
      <c r="D15" s="11" t="s">
        <v>25</v>
      </c>
      <c r="E15" s="11" t="s">
        <v>26</v>
      </c>
      <c r="F15" s="11" t="s">
        <v>29</v>
      </c>
      <c r="G15" s="11" t="s">
        <v>34</v>
      </c>
    </row>
    <row r="16" customFormat="false" ht="15" hidden="false" customHeight="false" outlineLevel="0" collapsed="false">
      <c r="B16" s="12" t="s">
        <v>35</v>
      </c>
      <c r="C16" s="13" t="n">
        <f aca="false">COUNTIF('Test Cases'!B2:B119,$B16)</f>
        <v>10</v>
      </c>
      <c r="D16" s="13" t="n">
        <f aca="false">COUNTIFS('Test Cases'!B2:B119,$B16,'Test Cases'!J2:J119,"Pass")</f>
        <v>0</v>
      </c>
      <c r="E16" s="13" t="n">
        <f aca="false">COUNTIFS('Test Cases'!B2:B119,$B16,'Test Cases'!J2:J119,"Fail")</f>
        <v>0</v>
      </c>
      <c r="F16" s="13" t="n">
        <f aca="false">COUNTIFS('Test Cases'!B2:B119,$B16,'Test Cases'!J2:J119,"Not Run")</f>
        <v>10</v>
      </c>
      <c r="G16" s="14" t="n">
        <f aca="false">IFERROR(D16/(D16+E16),0)</f>
        <v>0</v>
      </c>
    </row>
    <row r="17" customFormat="false" ht="22.35" hidden="false" customHeight="false" outlineLevel="0" collapsed="false">
      <c r="B17" s="12" t="s">
        <v>36</v>
      </c>
      <c r="C17" s="13" t="n">
        <f aca="false">COUNTIF('Test Cases'!B2:B119,$B17)</f>
        <v>8</v>
      </c>
      <c r="D17" s="13" t="n">
        <f aca="false">COUNTIFS('Test Cases'!B2:B119,$B17,'Test Cases'!J2:J119,"Pass")</f>
        <v>0</v>
      </c>
      <c r="E17" s="13" t="n">
        <f aca="false">COUNTIFS('Test Cases'!B2:B119,$B17,'Test Cases'!J2:J119,"Fail")</f>
        <v>0</v>
      </c>
      <c r="F17" s="13" t="n">
        <f aca="false">COUNTIFS('Test Cases'!B2:B119,$B17,'Test Cases'!J2:J119,"Not Run")</f>
        <v>8</v>
      </c>
      <c r="G17" s="14" t="n">
        <f aca="false">IFERROR(D17/(D17+E17),0)</f>
        <v>0</v>
      </c>
    </row>
    <row r="18" customFormat="false" ht="22.35" hidden="false" customHeight="false" outlineLevel="0" collapsed="false">
      <c r="B18" s="12" t="s">
        <v>37</v>
      </c>
      <c r="C18" s="13" t="n">
        <f aca="false">COUNTIF('Test Cases'!B2:B119,$B18)</f>
        <v>7</v>
      </c>
      <c r="D18" s="13" t="n">
        <f aca="false">COUNTIFS('Test Cases'!B2:B119,$B18,'Test Cases'!J2:J119,"Pass")</f>
        <v>0</v>
      </c>
      <c r="E18" s="13" t="n">
        <f aca="false">COUNTIFS('Test Cases'!B2:B119,$B18,'Test Cases'!J2:J119,"Fail")</f>
        <v>0</v>
      </c>
      <c r="F18" s="13" t="n">
        <f aca="false">COUNTIFS('Test Cases'!B2:B119,$B18,'Test Cases'!J2:J119,"Not Run")</f>
        <v>7</v>
      </c>
      <c r="G18" s="14" t="n">
        <f aca="false">IFERROR(D18/(D18+E18),0)</f>
        <v>0</v>
      </c>
    </row>
    <row r="19" customFormat="false" ht="22.35" hidden="false" customHeight="false" outlineLevel="0" collapsed="false">
      <c r="B19" s="12" t="s">
        <v>38</v>
      </c>
      <c r="C19" s="13" t="n">
        <f aca="false">COUNTIF('Test Cases'!B2:B119,$B19)</f>
        <v>8</v>
      </c>
      <c r="D19" s="13" t="n">
        <f aca="false">COUNTIFS('Test Cases'!B2:B119,$B19,'Test Cases'!J2:J119,"Pass")</f>
        <v>0</v>
      </c>
      <c r="E19" s="13" t="n">
        <f aca="false">COUNTIFS('Test Cases'!B2:B119,$B19,'Test Cases'!J2:J119,"Fail")</f>
        <v>0</v>
      </c>
      <c r="F19" s="13" t="n">
        <f aca="false">COUNTIFS('Test Cases'!B2:B119,$B19,'Test Cases'!J2:J119,"Not Run")</f>
        <v>8</v>
      </c>
      <c r="G19" s="14" t="n">
        <f aca="false">IFERROR(D19/(D19+E19),0)</f>
        <v>0</v>
      </c>
    </row>
    <row r="20" customFormat="false" ht="22.35" hidden="false" customHeight="false" outlineLevel="0" collapsed="false">
      <c r="B20" s="12" t="s">
        <v>39</v>
      </c>
      <c r="C20" s="13" t="n">
        <f aca="false">COUNTIF('Test Cases'!B2:B119,$B20)</f>
        <v>4</v>
      </c>
      <c r="D20" s="13" t="n">
        <f aca="false">COUNTIFS('Test Cases'!B2:B119,$B20,'Test Cases'!J2:J119,"Pass")</f>
        <v>0</v>
      </c>
      <c r="E20" s="13" t="n">
        <f aca="false">COUNTIFS('Test Cases'!B2:B119,$B20,'Test Cases'!J2:J119,"Fail")</f>
        <v>0</v>
      </c>
      <c r="F20" s="13" t="n">
        <f aca="false">COUNTIFS('Test Cases'!B2:B119,$B20,'Test Cases'!J2:J119,"Not Run")</f>
        <v>4</v>
      </c>
      <c r="G20" s="14" t="n">
        <f aca="false">IFERROR(D20/(D20+E20),0)</f>
        <v>0</v>
      </c>
    </row>
    <row r="21" customFormat="false" ht="22.35" hidden="false" customHeight="false" outlineLevel="0" collapsed="false">
      <c r="B21" s="12" t="s">
        <v>40</v>
      </c>
      <c r="C21" s="13" t="n">
        <f aca="false">COUNTIF('Test Cases'!B2:B119,$B21)</f>
        <v>6</v>
      </c>
      <c r="D21" s="13" t="n">
        <f aca="false">COUNTIFS('Test Cases'!B2:B119,$B21,'Test Cases'!J2:J119,"Pass")</f>
        <v>0</v>
      </c>
      <c r="E21" s="13" t="n">
        <f aca="false">COUNTIFS('Test Cases'!B2:B119,$B21,'Test Cases'!J2:J119,"Fail")</f>
        <v>0</v>
      </c>
      <c r="F21" s="13" t="n">
        <f aca="false">COUNTIFS('Test Cases'!B2:B119,$B21,'Test Cases'!J2:J119,"Not Run")</f>
        <v>6</v>
      </c>
      <c r="G21" s="14" t="n">
        <f aca="false">IFERROR(D21/(D21+E21),0)</f>
        <v>0</v>
      </c>
    </row>
    <row r="22" customFormat="false" ht="22.35" hidden="false" customHeight="false" outlineLevel="0" collapsed="false">
      <c r="B22" s="12" t="s">
        <v>41</v>
      </c>
      <c r="C22" s="13" t="n">
        <f aca="false">COUNTIF('Test Cases'!B2:B119,$B22)</f>
        <v>6</v>
      </c>
      <c r="D22" s="13" t="n">
        <f aca="false">COUNTIFS('Test Cases'!B2:B119,$B22,'Test Cases'!J2:J119,"Pass")</f>
        <v>0</v>
      </c>
      <c r="E22" s="13" t="n">
        <f aca="false">COUNTIFS('Test Cases'!B2:B119,$B22,'Test Cases'!J2:J119,"Fail")</f>
        <v>0</v>
      </c>
      <c r="F22" s="13" t="n">
        <f aca="false">COUNTIFS('Test Cases'!B2:B119,$B22,'Test Cases'!J2:J119,"Not Run")</f>
        <v>6</v>
      </c>
      <c r="G22" s="14" t="n">
        <f aca="false">IFERROR(D22/(D22+E22),0)</f>
        <v>0</v>
      </c>
    </row>
    <row r="23" customFormat="false" ht="22.35" hidden="false" customHeight="false" outlineLevel="0" collapsed="false">
      <c r="B23" s="12" t="s">
        <v>42</v>
      </c>
      <c r="C23" s="13" t="n">
        <f aca="false">COUNTIF('Test Cases'!B2:B119,$B23)</f>
        <v>5</v>
      </c>
      <c r="D23" s="13" t="n">
        <f aca="false">COUNTIFS('Test Cases'!B2:B119,$B23,'Test Cases'!J2:J119,"Pass")</f>
        <v>0</v>
      </c>
      <c r="E23" s="13" t="n">
        <f aca="false">COUNTIFS('Test Cases'!B2:B119,$B23,'Test Cases'!J2:J119,"Fail")</f>
        <v>0</v>
      </c>
      <c r="F23" s="13" t="n">
        <f aca="false">COUNTIFS('Test Cases'!B2:B119,$B23,'Test Cases'!J2:J119,"Not Run")</f>
        <v>5</v>
      </c>
      <c r="G23" s="14" t="n">
        <f aca="false">IFERROR(D23/(D23+E23),0)</f>
        <v>0</v>
      </c>
    </row>
    <row r="24" customFormat="false" ht="22.35" hidden="false" customHeight="false" outlineLevel="0" collapsed="false">
      <c r="B24" s="12" t="s">
        <v>43</v>
      </c>
      <c r="C24" s="13" t="n">
        <f aca="false">COUNTIF('Test Cases'!B2:B119,$B24)</f>
        <v>7</v>
      </c>
      <c r="D24" s="13" t="n">
        <f aca="false">COUNTIFS('Test Cases'!B2:B119,$B24,'Test Cases'!J2:J119,"Pass")</f>
        <v>0</v>
      </c>
      <c r="E24" s="13" t="n">
        <f aca="false">COUNTIFS('Test Cases'!B2:B119,$B24,'Test Cases'!J2:J119,"Fail")</f>
        <v>0</v>
      </c>
      <c r="F24" s="13" t="n">
        <f aca="false">COUNTIFS('Test Cases'!B2:B119,$B24,'Test Cases'!J2:J119,"Not Run")</f>
        <v>7</v>
      </c>
      <c r="G24" s="14" t="n">
        <f aca="false">IFERROR(D24/(D24+E24),0)</f>
        <v>0</v>
      </c>
    </row>
    <row r="25" customFormat="false" ht="15" hidden="false" customHeight="false" outlineLevel="0" collapsed="false">
      <c r="B25" s="12" t="s">
        <v>44</v>
      </c>
      <c r="C25" s="13" t="n">
        <f aca="false">COUNTIF('Test Cases'!B2:B119,$B25)</f>
        <v>5</v>
      </c>
      <c r="D25" s="13" t="n">
        <f aca="false">COUNTIFS('Test Cases'!B2:B119,$B25,'Test Cases'!J2:J119,"Pass")</f>
        <v>0</v>
      </c>
      <c r="E25" s="13" t="n">
        <f aca="false">COUNTIFS('Test Cases'!B2:B119,$B25,'Test Cases'!J2:J119,"Fail")</f>
        <v>0</v>
      </c>
      <c r="F25" s="13" t="n">
        <f aca="false">COUNTIFS('Test Cases'!B2:B119,$B25,'Test Cases'!J2:J119,"Not Run")</f>
        <v>5</v>
      </c>
      <c r="G25" s="14" t="n">
        <f aca="false">IFERROR(D25/(D25+E25),0)</f>
        <v>0</v>
      </c>
    </row>
    <row r="26" customFormat="false" ht="15" hidden="false" customHeight="false" outlineLevel="0" collapsed="false">
      <c r="B26" s="12" t="s">
        <v>45</v>
      </c>
      <c r="C26" s="13" t="n">
        <f aca="false">COUNTIF('Test Cases'!B2:B119,$B26)</f>
        <v>6</v>
      </c>
      <c r="D26" s="13" t="n">
        <f aca="false">COUNTIFS('Test Cases'!B2:B119,$B26,'Test Cases'!J2:J119,"Pass")</f>
        <v>0</v>
      </c>
      <c r="E26" s="13" t="n">
        <f aca="false">COUNTIFS('Test Cases'!B2:B119,$B26,'Test Cases'!J2:J119,"Fail")</f>
        <v>0</v>
      </c>
      <c r="F26" s="13" t="n">
        <f aca="false">COUNTIFS('Test Cases'!B2:B119,$B26,'Test Cases'!J2:J119,"Not Run")</f>
        <v>6</v>
      </c>
      <c r="G26" s="14" t="n">
        <f aca="false">IFERROR(D26/(D26+E26),0)</f>
        <v>0</v>
      </c>
    </row>
    <row r="27" customFormat="false" ht="15" hidden="false" customHeight="false" outlineLevel="0" collapsed="false">
      <c r="B27" s="12" t="s">
        <v>46</v>
      </c>
      <c r="C27" s="13" t="n">
        <f aca="false">COUNTIF('Test Cases'!B2:B119,$B27)</f>
        <v>6</v>
      </c>
      <c r="D27" s="13" t="n">
        <f aca="false">COUNTIFS('Test Cases'!B2:B119,$B27,'Test Cases'!J2:J119,"Pass")</f>
        <v>0</v>
      </c>
      <c r="E27" s="13" t="n">
        <f aca="false">COUNTIFS('Test Cases'!B2:B119,$B27,'Test Cases'!J2:J119,"Fail")</f>
        <v>0</v>
      </c>
      <c r="F27" s="13" t="n">
        <f aca="false">COUNTIFS('Test Cases'!B2:B119,$B27,'Test Cases'!J2:J119,"Not Run")</f>
        <v>6</v>
      </c>
      <c r="G27" s="14" t="n">
        <f aca="false">IFERROR(D27/(D27+E27),0)</f>
        <v>0</v>
      </c>
    </row>
    <row r="28" customFormat="false" ht="15" hidden="false" customHeight="false" outlineLevel="0" collapsed="false">
      <c r="B28" s="12" t="s">
        <v>47</v>
      </c>
      <c r="C28" s="13" t="n">
        <f aca="false">COUNTIF('Test Cases'!B2:B119,$B28)</f>
        <v>5</v>
      </c>
      <c r="D28" s="13" t="n">
        <f aca="false">COUNTIFS('Test Cases'!B2:B119,$B28,'Test Cases'!J2:J119,"Pass")</f>
        <v>0</v>
      </c>
      <c r="E28" s="13" t="n">
        <f aca="false">COUNTIFS('Test Cases'!B2:B119,$B28,'Test Cases'!J2:J119,"Fail")</f>
        <v>0</v>
      </c>
      <c r="F28" s="13" t="n">
        <f aca="false">COUNTIFS('Test Cases'!B2:B119,$B28,'Test Cases'!J2:J119,"Not Run")</f>
        <v>5</v>
      </c>
      <c r="G28" s="14" t="n">
        <f aca="false">IFERROR(D28/(D28+E28),0)</f>
        <v>0</v>
      </c>
    </row>
    <row r="29" customFormat="false" ht="15" hidden="false" customHeight="false" outlineLevel="0" collapsed="false">
      <c r="B29" s="12" t="s">
        <v>48</v>
      </c>
      <c r="C29" s="13" t="n">
        <f aca="false">COUNTIF('Test Cases'!B2:B119,$B29)</f>
        <v>7</v>
      </c>
      <c r="D29" s="13" t="n">
        <f aca="false">COUNTIFS('Test Cases'!B2:B119,$B29,'Test Cases'!J2:J119,"Pass")</f>
        <v>0</v>
      </c>
      <c r="E29" s="13" t="n">
        <f aca="false">COUNTIFS('Test Cases'!B2:B119,$B29,'Test Cases'!J2:J119,"Fail")</f>
        <v>0</v>
      </c>
      <c r="F29" s="13" t="n">
        <f aca="false">COUNTIFS('Test Cases'!B2:B119,$B29,'Test Cases'!J2:J119,"Not Run")</f>
        <v>7</v>
      </c>
      <c r="G29" s="14" t="n">
        <f aca="false">IFERROR(D29/(D29+E29),0)</f>
        <v>0</v>
      </c>
    </row>
    <row r="30" customFormat="false" ht="15" hidden="false" customHeight="false" outlineLevel="0" collapsed="false">
      <c r="B30" s="12" t="s">
        <v>49</v>
      </c>
      <c r="C30" s="13" t="n">
        <f aca="false">COUNTIF('Test Cases'!B2:B119,$B30)</f>
        <v>5</v>
      </c>
      <c r="D30" s="13" t="n">
        <f aca="false">COUNTIFS('Test Cases'!B2:B119,$B30,'Test Cases'!J2:J119,"Pass")</f>
        <v>0</v>
      </c>
      <c r="E30" s="13" t="n">
        <f aca="false">COUNTIFS('Test Cases'!B2:B119,$B30,'Test Cases'!J2:J119,"Fail")</f>
        <v>0</v>
      </c>
      <c r="F30" s="13" t="n">
        <f aca="false">COUNTIFS('Test Cases'!B2:B119,$B30,'Test Cases'!J2:J119,"Not Run")</f>
        <v>5</v>
      </c>
      <c r="G30" s="14" t="n">
        <f aca="false">IFERROR(D30/(D30+E30),0)</f>
        <v>0</v>
      </c>
    </row>
    <row r="31" customFormat="false" ht="15" hidden="false" customHeight="false" outlineLevel="0" collapsed="false">
      <c r="B31" s="12" t="s">
        <v>50</v>
      </c>
      <c r="C31" s="13" t="n">
        <f aca="false">COUNTIF('Test Cases'!B2:B119,$B31)</f>
        <v>4</v>
      </c>
      <c r="D31" s="13" t="n">
        <f aca="false">COUNTIFS('Test Cases'!B2:B119,$B31,'Test Cases'!J2:J119,"Pass")</f>
        <v>0</v>
      </c>
      <c r="E31" s="13" t="n">
        <f aca="false">COUNTIFS('Test Cases'!B2:B119,$B31,'Test Cases'!J2:J119,"Fail")</f>
        <v>0</v>
      </c>
      <c r="F31" s="13" t="n">
        <f aca="false">COUNTIFS('Test Cases'!B2:B119,$B31,'Test Cases'!J2:J119,"Not Run")</f>
        <v>4</v>
      </c>
      <c r="G31" s="14" t="n">
        <f aca="false">IFERROR(D31/(D31+E31),0)</f>
        <v>0</v>
      </c>
    </row>
    <row r="32" customFormat="false" ht="15" hidden="false" customHeight="false" outlineLevel="0" collapsed="false">
      <c r="B32" s="12" t="s">
        <v>51</v>
      </c>
      <c r="C32" s="13" t="n">
        <f aca="false">COUNTIF('Test Cases'!B2:B119,$B32)</f>
        <v>4</v>
      </c>
      <c r="D32" s="13" t="n">
        <f aca="false">COUNTIFS('Test Cases'!B2:B119,$B32,'Test Cases'!J2:J119,"Pass")</f>
        <v>0</v>
      </c>
      <c r="E32" s="13" t="n">
        <f aca="false">COUNTIFS('Test Cases'!B2:B119,$B32,'Test Cases'!J2:J119,"Fail")</f>
        <v>0</v>
      </c>
      <c r="F32" s="13" t="n">
        <f aca="false">COUNTIFS('Test Cases'!B2:B119,$B32,'Test Cases'!J2:J119,"Not Run")</f>
        <v>4</v>
      </c>
      <c r="G32" s="14" t="n">
        <f aca="false">IFERROR(D32/(D32+E32),0)</f>
        <v>0</v>
      </c>
    </row>
    <row r="33" customFormat="false" ht="15" hidden="false" customHeight="false" outlineLevel="0" collapsed="false">
      <c r="B33" s="12" t="s">
        <v>52</v>
      </c>
      <c r="C33" s="13" t="n">
        <f aca="false">COUNTIF('Test Cases'!B2:B119,$B33)</f>
        <v>2</v>
      </c>
      <c r="D33" s="13" t="n">
        <f aca="false">COUNTIFS('Test Cases'!B2:B119,$B33,'Test Cases'!J2:J119,"Pass")</f>
        <v>0</v>
      </c>
      <c r="E33" s="13" t="n">
        <f aca="false">COUNTIFS('Test Cases'!B2:B119,$B33,'Test Cases'!J2:J119,"Fail")</f>
        <v>0</v>
      </c>
      <c r="F33" s="13" t="n">
        <f aca="false">COUNTIFS('Test Cases'!B2:B119,$B33,'Test Cases'!J2:J119,"Not Run")</f>
        <v>2</v>
      </c>
      <c r="G33" s="14" t="n">
        <f aca="false">IFERROR(D33/(D33+E33),0)</f>
        <v>0</v>
      </c>
    </row>
    <row r="34" customFormat="false" ht="15" hidden="false" customHeight="false" outlineLevel="0" collapsed="false">
      <c r="B34" s="12" t="s">
        <v>53</v>
      </c>
      <c r="C34" s="13" t="n">
        <f aca="false">COUNTIF('Test Cases'!B2:B119,$B34)</f>
        <v>5</v>
      </c>
      <c r="D34" s="13" t="n">
        <f aca="false">COUNTIFS('Test Cases'!B2:B119,$B34,'Test Cases'!J2:J119,"Pass")</f>
        <v>0</v>
      </c>
      <c r="E34" s="13" t="n">
        <f aca="false">COUNTIFS('Test Cases'!B2:B119,$B34,'Test Cases'!J2:J119,"Fail")</f>
        <v>0</v>
      </c>
      <c r="F34" s="13" t="n">
        <f aca="false">COUNTIFS('Test Cases'!B2:B119,$B34,'Test Cases'!J2:J119,"Not Run")</f>
        <v>5</v>
      </c>
      <c r="G34" s="14" t="n">
        <f aca="false">IFERROR(D34/(D34+E34),0)</f>
        <v>0</v>
      </c>
    </row>
    <row r="35" customFormat="false" ht="15" hidden="false" customHeight="false" outlineLevel="0" collapsed="false">
      <c r="B35" s="12" t="s">
        <v>54</v>
      </c>
      <c r="C35" s="13" t="n">
        <f aca="false">COUNTIF('Test Cases'!B2:B119,$B35)</f>
        <v>5</v>
      </c>
      <c r="D35" s="13" t="n">
        <f aca="false">COUNTIFS('Test Cases'!B2:B119,$B35,'Test Cases'!J2:J119,"Pass")</f>
        <v>0</v>
      </c>
      <c r="E35" s="13" t="n">
        <f aca="false">COUNTIFS('Test Cases'!B2:B119,$B35,'Test Cases'!J2:J119,"Fail")</f>
        <v>0</v>
      </c>
      <c r="F35" s="13" t="n">
        <f aca="false">COUNTIFS('Test Cases'!B2:B119,$B35,'Test Cases'!J2:J119,"Not Run")</f>
        <v>5</v>
      </c>
      <c r="G35" s="14" t="n">
        <f aca="false">IFERROR(D35/(D35+E35),0)</f>
        <v>0</v>
      </c>
    </row>
    <row r="36" customFormat="false" ht="15" hidden="false" customHeight="false" outlineLevel="0" collapsed="false">
      <c r="B36" s="12" t="s">
        <v>55</v>
      </c>
      <c r="C36" s="13" t="n">
        <f aca="false">COUNTIF('Test Cases'!B2:B119,$B36)</f>
        <v>3</v>
      </c>
      <c r="D36" s="13" t="n">
        <f aca="false">COUNTIFS('Test Cases'!B2:B119,$B36,'Test Cases'!J2:J119,"Pass")</f>
        <v>0</v>
      </c>
      <c r="E36" s="13" t="n">
        <f aca="false">COUNTIFS('Test Cases'!B2:B119,$B36,'Test Cases'!J2:J119,"Fail")</f>
        <v>0</v>
      </c>
      <c r="F36" s="13" t="n">
        <f aca="false">COUNTIFS('Test Cases'!B2:B119,$B36,'Test Cases'!J2:J119,"Not Run")</f>
        <v>3</v>
      </c>
      <c r="G36" s="14" t="n">
        <f aca="false">IFERROR(D36/(D36+E36),0)</f>
        <v>0</v>
      </c>
    </row>
    <row r="37" customFormat="false" ht="15" hidden="false" customHeight="false" outlineLevel="0" collapsed="false">
      <c r="B37" s="15" t="s">
        <v>56</v>
      </c>
      <c r="C37" s="16" t="n">
        <f aca="false">SUM(C16:C36)</f>
        <v>118</v>
      </c>
      <c r="D37" s="16" t="n">
        <f aca="false">SUM(D16:D36)</f>
        <v>0</v>
      </c>
      <c r="E37" s="16" t="n">
        <f aca="false">SUM(E16:E36)</f>
        <v>0</v>
      </c>
      <c r="F37" s="16" t="n">
        <f aca="false">SUM(F16:F36)</f>
        <v>118</v>
      </c>
      <c r="G37" s="17" t="n">
        <f aca="false">IFERROR(D37/(D37+E37),0)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9" min="8" style="0" width="44"/>
    <col collapsed="false" customWidth="true" hidden="false" outlineLevel="0" max="10" min="10" style="0" width="11"/>
    <col collapsed="false" customWidth="true" hidden="false" outlineLevel="0" max="11" min="11" style="0" width="28"/>
    <col collapsed="false" customWidth="true" hidden="false" outlineLevel="0" max="13" min="12" style="0" width="12"/>
  </cols>
  <sheetData>
    <row r="1" customFormat="false" ht="30" hidden="false" customHeight="true" outlineLevel="0" collapsed="false">
      <c r="A1" s="11" t="s">
        <v>57</v>
      </c>
      <c r="B1" s="11" t="s">
        <v>58</v>
      </c>
      <c r="C1" s="11" t="s">
        <v>59</v>
      </c>
      <c r="D1" s="11" t="s">
        <v>9</v>
      </c>
      <c r="E1" s="11" t="s">
        <v>11</v>
      </c>
      <c r="F1" s="11" t="s">
        <v>60</v>
      </c>
      <c r="G1" s="11" t="s">
        <v>61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</row>
    <row r="2" customFormat="false" ht="32.8" hidden="false" customHeight="false" outlineLevel="0" collapsed="false">
      <c r="A2" s="18" t="s">
        <v>68</v>
      </c>
      <c r="B2" s="19" t="s">
        <v>35</v>
      </c>
      <c r="C2" s="19" t="s">
        <v>69</v>
      </c>
      <c r="D2" s="20" t="s">
        <v>70</v>
      </c>
      <c r="E2" s="19" t="s">
        <v>71</v>
      </c>
      <c r="F2" s="19" t="s">
        <v>72</v>
      </c>
      <c r="G2" s="19" t="s">
        <v>73</v>
      </c>
      <c r="H2" s="19" t="s">
        <v>74</v>
      </c>
      <c r="I2" s="19" t="s">
        <v>75</v>
      </c>
      <c r="J2" s="21" t="s">
        <v>29</v>
      </c>
      <c r="K2" s="19"/>
      <c r="L2" s="19"/>
      <c r="M2" s="19"/>
    </row>
    <row r="3" customFormat="false" ht="22.35" hidden="false" customHeight="false" outlineLevel="0" collapsed="false">
      <c r="A3" s="18" t="s">
        <v>76</v>
      </c>
      <c r="B3" s="19" t="s">
        <v>35</v>
      </c>
      <c r="C3" s="19" t="s">
        <v>69</v>
      </c>
      <c r="D3" s="20" t="s">
        <v>70</v>
      </c>
      <c r="E3" s="19" t="s">
        <v>71</v>
      </c>
      <c r="F3" s="19" t="s">
        <v>77</v>
      </c>
      <c r="G3" s="19" t="s">
        <v>78</v>
      </c>
      <c r="H3" s="19" t="s">
        <v>79</v>
      </c>
      <c r="I3" s="19" t="s">
        <v>80</v>
      </c>
      <c r="J3" s="21" t="s">
        <v>29</v>
      </c>
      <c r="K3" s="19"/>
      <c r="L3" s="19"/>
      <c r="M3" s="19"/>
    </row>
    <row r="4" customFormat="false" ht="22.35" hidden="false" customHeight="false" outlineLevel="0" collapsed="false">
      <c r="A4" s="18" t="s">
        <v>81</v>
      </c>
      <c r="B4" s="19" t="s">
        <v>35</v>
      </c>
      <c r="C4" s="19" t="s">
        <v>69</v>
      </c>
      <c r="D4" s="20" t="s">
        <v>70</v>
      </c>
      <c r="E4" s="19" t="s">
        <v>82</v>
      </c>
      <c r="F4" s="19" t="s">
        <v>83</v>
      </c>
      <c r="G4" s="19" t="s">
        <v>84</v>
      </c>
      <c r="H4" s="19" t="s">
        <v>85</v>
      </c>
      <c r="I4" s="19" t="s">
        <v>86</v>
      </c>
      <c r="J4" s="21" t="s">
        <v>29</v>
      </c>
      <c r="K4" s="19"/>
      <c r="L4" s="19"/>
      <c r="M4" s="19"/>
    </row>
    <row r="5" customFormat="false" ht="22.35" hidden="false" customHeight="false" outlineLevel="0" collapsed="false">
      <c r="A5" s="18" t="s">
        <v>87</v>
      </c>
      <c r="B5" s="19" t="s">
        <v>35</v>
      </c>
      <c r="C5" s="19" t="s">
        <v>69</v>
      </c>
      <c r="D5" s="20" t="s">
        <v>70</v>
      </c>
      <c r="E5" s="19" t="s">
        <v>71</v>
      </c>
      <c r="F5" s="19" t="s">
        <v>88</v>
      </c>
      <c r="G5" s="19" t="s">
        <v>89</v>
      </c>
      <c r="H5" s="19" t="s">
        <v>90</v>
      </c>
      <c r="I5" s="19" t="s">
        <v>91</v>
      </c>
      <c r="J5" s="21" t="s">
        <v>29</v>
      </c>
      <c r="K5" s="19"/>
      <c r="L5" s="19"/>
      <c r="M5" s="19"/>
    </row>
    <row r="6" customFormat="false" ht="22.35" hidden="false" customHeight="false" outlineLevel="0" collapsed="false">
      <c r="A6" s="18" t="s">
        <v>92</v>
      </c>
      <c r="B6" s="19" t="s">
        <v>35</v>
      </c>
      <c r="C6" s="19" t="s">
        <v>69</v>
      </c>
      <c r="D6" s="22" t="s">
        <v>93</v>
      </c>
      <c r="E6" s="19" t="s">
        <v>71</v>
      </c>
      <c r="F6" s="19" t="s">
        <v>94</v>
      </c>
      <c r="G6" s="19" t="s">
        <v>95</v>
      </c>
      <c r="H6" s="19" t="s">
        <v>96</v>
      </c>
      <c r="I6" s="19" t="s">
        <v>97</v>
      </c>
      <c r="J6" s="21" t="s">
        <v>29</v>
      </c>
      <c r="K6" s="19"/>
      <c r="L6" s="19"/>
      <c r="M6" s="19"/>
    </row>
    <row r="7" customFormat="false" ht="22.35" hidden="false" customHeight="false" outlineLevel="0" collapsed="false">
      <c r="A7" s="18" t="s">
        <v>98</v>
      </c>
      <c r="B7" s="19" t="s">
        <v>35</v>
      </c>
      <c r="C7" s="19" t="s">
        <v>69</v>
      </c>
      <c r="D7" s="22" t="s">
        <v>93</v>
      </c>
      <c r="E7" s="19" t="s">
        <v>71</v>
      </c>
      <c r="F7" s="19" t="s">
        <v>99</v>
      </c>
      <c r="G7" s="19" t="s">
        <v>100</v>
      </c>
      <c r="H7" s="19" t="s">
        <v>101</v>
      </c>
      <c r="I7" s="19" t="s">
        <v>102</v>
      </c>
      <c r="J7" s="21" t="s">
        <v>29</v>
      </c>
      <c r="K7" s="19"/>
      <c r="L7" s="19"/>
      <c r="M7" s="19"/>
    </row>
    <row r="8" customFormat="false" ht="22.35" hidden="false" customHeight="false" outlineLevel="0" collapsed="false">
      <c r="A8" s="18" t="s">
        <v>103</v>
      </c>
      <c r="B8" s="19" t="s">
        <v>35</v>
      </c>
      <c r="C8" s="19" t="s">
        <v>69</v>
      </c>
      <c r="D8" s="22" t="s">
        <v>93</v>
      </c>
      <c r="E8" s="19" t="s">
        <v>71</v>
      </c>
      <c r="F8" s="19" t="s">
        <v>104</v>
      </c>
      <c r="G8" s="19" t="s">
        <v>105</v>
      </c>
      <c r="H8" s="19" t="s">
        <v>106</v>
      </c>
      <c r="I8" s="19" t="s">
        <v>107</v>
      </c>
      <c r="J8" s="21" t="s">
        <v>29</v>
      </c>
      <c r="K8" s="19"/>
      <c r="L8" s="19"/>
      <c r="M8" s="19"/>
    </row>
    <row r="9" customFormat="false" ht="32.8" hidden="false" customHeight="false" outlineLevel="0" collapsed="false">
      <c r="A9" s="18" t="s">
        <v>108</v>
      </c>
      <c r="B9" s="19" t="s">
        <v>35</v>
      </c>
      <c r="C9" s="19" t="s">
        <v>69</v>
      </c>
      <c r="D9" s="20" t="s">
        <v>70</v>
      </c>
      <c r="E9" s="19" t="s">
        <v>82</v>
      </c>
      <c r="F9" s="19" t="s">
        <v>109</v>
      </c>
      <c r="G9" s="19" t="s">
        <v>110</v>
      </c>
      <c r="H9" s="19" t="s">
        <v>111</v>
      </c>
      <c r="I9" s="19" t="s">
        <v>112</v>
      </c>
      <c r="J9" s="21" t="s">
        <v>29</v>
      </c>
      <c r="K9" s="19"/>
      <c r="L9" s="19"/>
      <c r="M9" s="19"/>
    </row>
    <row r="10" customFormat="false" ht="15" hidden="false" customHeight="false" outlineLevel="0" collapsed="false">
      <c r="A10" s="18" t="s">
        <v>113</v>
      </c>
      <c r="B10" s="19" t="s">
        <v>35</v>
      </c>
      <c r="C10" s="19" t="s">
        <v>69</v>
      </c>
      <c r="D10" s="22" t="s">
        <v>93</v>
      </c>
      <c r="E10" s="19" t="s">
        <v>82</v>
      </c>
      <c r="F10" s="19" t="s">
        <v>114</v>
      </c>
      <c r="G10" s="19" t="s">
        <v>115</v>
      </c>
      <c r="H10" s="19" t="s">
        <v>116</v>
      </c>
      <c r="I10" s="19" t="s">
        <v>117</v>
      </c>
      <c r="J10" s="21" t="s">
        <v>29</v>
      </c>
      <c r="K10" s="19"/>
      <c r="L10" s="19"/>
      <c r="M10" s="19"/>
    </row>
    <row r="11" customFormat="false" ht="15" hidden="false" customHeight="false" outlineLevel="0" collapsed="false">
      <c r="A11" s="18" t="s">
        <v>118</v>
      </c>
      <c r="B11" s="19" t="s">
        <v>35</v>
      </c>
      <c r="C11" s="19" t="s">
        <v>69</v>
      </c>
      <c r="D11" s="22" t="s">
        <v>93</v>
      </c>
      <c r="E11" s="19" t="s">
        <v>82</v>
      </c>
      <c r="F11" s="19" t="s">
        <v>119</v>
      </c>
      <c r="G11" s="19" t="s">
        <v>120</v>
      </c>
      <c r="H11" s="19" t="s">
        <v>121</v>
      </c>
      <c r="I11" s="19" t="s">
        <v>122</v>
      </c>
      <c r="J11" s="21" t="s">
        <v>29</v>
      </c>
      <c r="K11" s="19"/>
      <c r="L11" s="19"/>
      <c r="M11" s="19"/>
    </row>
    <row r="12" customFormat="false" ht="22.35" hidden="false" customHeight="false" outlineLevel="0" collapsed="false">
      <c r="A12" s="23" t="s">
        <v>123</v>
      </c>
      <c r="B12" s="12" t="s">
        <v>36</v>
      </c>
      <c r="C12" s="12" t="s">
        <v>124</v>
      </c>
      <c r="D12" s="24" t="s">
        <v>70</v>
      </c>
      <c r="E12" s="12" t="s">
        <v>71</v>
      </c>
      <c r="F12" s="12" t="s">
        <v>125</v>
      </c>
      <c r="G12" s="12" t="s">
        <v>126</v>
      </c>
      <c r="H12" s="12" t="s">
        <v>127</v>
      </c>
      <c r="I12" s="12" t="s">
        <v>128</v>
      </c>
      <c r="J12" s="25" t="s">
        <v>29</v>
      </c>
      <c r="K12" s="12"/>
      <c r="L12" s="12"/>
      <c r="M12" s="12"/>
    </row>
    <row r="13" customFormat="false" ht="32.8" hidden="false" customHeight="false" outlineLevel="0" collapsed="false">
      <c r="A13" s="23" t="s">
        <v>129</v>
      </c>
      <c r="B13" s="12" t="s">
        <v>36</v>
      </c>
      <c r="C13" s="12" t="s">
        <v>124</v>
      </c>
      <c r="D13" s="24" t="s">
        <v>70</v>
      </c>
      <c r="E13" s="12" t="s">
        <v>71</v>
      </c>
      <c r="F13" s="12" t="s">
        <v>130</v>
      </c>
      <c r="G13" s="12" t="s">
        <v>131</v>
      </c>
      <c r="H13" s="12" t="s">
        <v>132</v>
      </c>
      <c r="I13" s="12" t="s">
        <v>133</v>
      </c>
      <c r="J13" s="25" t="s">
        <v>29</v>
      </c>
      <c r="K13" s="12"/>
      <c r="L13" s="12"/>
      <c r="M13" s="12"/>
    </row>
    <row r="14" customFormat="false" ht="22.35" hidden="false" customHeight="false" outlineLevel="0" collapsed="false">
      <c r="A14" s="23" t="s">
        <v>134</v>
      </c>
      <c r="B14" s="12" t="s">
        <v>36</v>
      </c>
      <c r="C14" s="12" t="s">
        <v>124</v>
      </c>
      <c r="D14" s="24" t="s">
        <v>70</v>
      </c>
      <c r="E14" s="12" t="s">
        <v>71</v>
      </c>
      <c r="F14" s="12" t="s">
        <v>135</v>
      </c>
      <c r="G14" s="12" t="s">
        <v>136</v>
      </c>
      <c r="H14" s="12" t="s">
        <v>137</v>
      </c>
      <c r="I14" s="12" t="s">
        <v>138</v>
      </c>
      <c r="J14" s="25" t="s">
        <v>29</v>
      </c>
      <c r="K14" s="12"/>
      <c r="L14" s="12"/>
      <c r="M14" s="12"/>
    </row>
    <row r="15" customFormat="false" ht="22.35" hidden="false" customHeight="false" outlineLevel="0" collapsed="false">
      <c r="A15" s="23" t="s">
        <v>139</v>
      </c>
      <c r="B15" s="12" t="s">
        <v>36</v>
      </c>
      <c r="C15" s="12" t="s">
        <v>124</v>
      </c>
      <c r="D15" s="24" t="s">
        <v>70</v>
      </c>
      <c r="E15" s="12" t="s">
        <v>71</v>
      </c>
      <c r="F15" s="12" t="s">
        <v>140</v>
      </c>
      <c r="G15" s="12" t="s">
        <v>141</v>
      </c>
      <c r="H15" s="12" t="s">
        <v>142</v>
      </c>
      <c r="I15" s="12" t="s">
        <v>143</v>
      </c>
      <c r="J15" s="25" t="s">
        <v>29</v>
      </c>
      <c r="K15" s="12"/>
      <c r="L15" s="12"/>
      <c r="M15" s="12"/>
    </row>
    <row r="16" customFormat="false" ht="22.35" hidden="false" customHeight="false" outlineLevel="0" collapsed="false">
      <c r="A16" s="23" t="s">
        <v>144</v>
      </c>
      <c r="B16" s="12" t="s">
        <v>36</v>
      </c>
      <c r="C16" s="12" t="s">
        <v>124</v>
      </c>
      <c r="D16" s="24" t="s">
        <v>70</v>
      </c>
      <c r="E16" s="12" t="s">
        <v>71</v>
      </c>
      <c r="F16" s="12" t="s">
        <v>145</v>
      </c>
      <c r="G16" s="12" t="s">
        <v>146</v>
      </c>
      <c r="H16" s="12" t="s">
        <v>147</v>
      </c>
      <c r="I16" s="12" t="s">
        <v>148</v>
      </c>
      <c r="J16" s="25" t="s">
        <v>29</v>
      </c>
      <c r="K16" s="12"/>
      <c r="L16" s="12"/>
      <c r="M16" s="12"/>
    </row>
    <row r="17" customFormat="false" ht="22.35" hidden="false" customHeight="false" outlineLevel="0" collapsed="false">
      <c r="A17" s="23" t="s">
        <v>149</v>
      </c>
      <c r="B17" s="12" t="s">
        <v>36</v>
      </c>
      <c r="C17" s="12" t="s">
        <v>124</v>
      </c>
      <c r="D17" s="24" t="s">
        <v>70</v>
      </c>
      <c r="E17" s="12" t="s">
        <v>82</v>
      </c>
      <c r="F17" s="12" t="s">
        <v>150</v>
      </c>
      <c r="G17" s="12" t="s">
        <v>151</v>
      </c>
      <c r="H17" s="12" t="s">
        <v>152</v>
      </c>
      <c r="I17" s="12" t="s">
        <v>153</v>
      </c>
      <c r="J17" s="25" t="s">
        <v>29</v>
      </c>
      <c r="K17" s="12"/>
      <c r="L17" s="12"/>
      <c r="M17" s="12"/>
    </row>
    <row r="18" customFormat="false" ht="22.35" hidden="false" customHeight="false" outlineLevel="0" collapsed="false">
      <c r="A18" s="23" t="s">
        <v>154</v>
      </c>
      <c r="B18" s="12" t="s">
        <v>36</v>
      </c>
      <c r="C18" s="12" t="s">
        <v>124</v>
      </c>
      <c r="D18" s="26" t="s">
        <v>93</v>
      </c>
      <c r="E18" s="12" t="s">
        <v>71</v>
      </c>
      <c r="F18" s="12" t="s">
        <v>155</v>
      </c>
      <c r="G18" s="12" t="s">
        <v>156</v>
      </c>
      <c r="H18" s="12" t="s">
        <v>157</v>
      </c>
      <c r="I18" s="12" t="s">
        <v>158</v>
      </c>
      <c r="J18" s="25" t="s">
        <v>29</v>
      </c>
      <c r="K18" s="12"/>
      <c r="L18" s="12"/>
      <c r="M18" s="12"/>
    </row>
    <row r="19" customFormat="false" ht="22.35" hidden="false" customHeight="false" outlineLevel="0" collapsed="false">
      <c r="A19" s="23" t="s">
        <v>159</v>
      </c>
      <c r="B19" s="12" t="s">
        <v>36</v>
      </c>
      <c r="C19" s="12" t="s">
        <v>124</v>
      </c>
      <c r="D19" s="26" t="s">
        <v>93</v>
      </c>
      <c r="E19" s="12" t="s">
        <v>82</v>
      </c>
      <c r="F19" s="12" t="s">
        <v>160</v>
      </c>
      <c r="G19" s="12" t="s">
        <v>161</v>
      </c>
      <c r="H19" s="12" t="s">
        <v>162</v>
      </c>
      <c r="I19" s="12" t="s">
        <v>163</v>
      </c>
      <c r="J19" s="25" t="s">
        <v>29</v>
      </c>
      <c r="K19" s="12"/>
      <c r="L19" s="12"/>
      <c r="M19" s="12"/>
    </row>
    <row r="20" customFormat="false" ht="22.35" hidden="false" customHeight="false" outlineLevel="0" collapsed="false">
      <c r="A20" s="18" t="s">
        <v>164</v>
      </c>
      <c r="B20" s="19" t="s">
        <v>37</v>
      </c>
      <c r="C20" s="19" t="s">
        <v>165</v>
      </c>
      <c r="D20" s="20" t="s">
        <v>70</v>
      </c>
      <c r="E20" s="19" t="s">
        <v>71</v>
      </c>
      <c r="F20" s="19" t="s">
        <v>166</v>
      </c>
      <c r="G20" s="19" t="s">
        <v>167</v>
      </c>
      <c r="H20" s="19" t="s">
        <v>168</v>
      </c>
      <c r="I20" s="19" t="s">
        <v>169</v>
      </c>
      <c r="J20" s="21" t="s">
        <v>29</v>
      </c>
      <c r="K20" s="19"/>
      <c r="L20" s="19"/>
      <c r="M20" s="19"/>
    </row>
    <row r="21" customFormat="false" ht="22.35" hidden="false" customHeight="false" outlineLevel="0" collapsed="false">
      <c r="A21" s="18" t="s">
        <v>170</v>
      </c>
      <c r="B21" s="19" t="s">
        <v>37</v>
      </c>
      <c r="C21" s="19" t="s">
        <v>165</v>
      </c>
      <c r="D21" s="20" t="s">
        <v>70</v>
      </c>
      <c r="E21" s="19" t="s">
        <v>71</v>
      </c>
      <c r="F21" s="19" t="s">
        <v>171</v>
      </c>
      <c r="G21" s="19" t="s">
        <v>172</v>
      </c>
      <c r="H21" s="19" t="s">
        <v>173</v>
      </c>
      <c r="I21" s="19" t="s">
        <v>174</v>
      </c>
      <c r="J21" s="21" t="s">
        <v>29</v>
      </c>
      <c r="K21" s="19"/>
      <c r="L21" s="19"/>
      <c r="M21" s="19"/>
    </row>
    <row r="22" customFormat="false" ht="22.35" hidden="false" customHeight="false" outlineLevel="0" collapsed="false">
      <c r="A22" s="18" t="s">
        <v>175</v>
      </c>
      <c r="B22" s="19" t="s">
        <v>37</v>
      </c>
      <c r="C22" s="19" t="s">
        <v>165</v>
      </c>
      <c r="D22" s="20" t="s">
        <v>70</v>
      </c>
      <c r="E22" s="19" t="s">
        <v>71</v>
      </c>
      <c r="F22" s="19" t="s">
        <v>176</v>
      </c>
      <c r="G22" s="19" t="s">
        <v>177</v>
      </c>
      <c r="H22" s="19" t="s">
        <v>178</v>
      </c>
      <c r="I22" s="19" t="s">
        <v>179</v>
      </c>
      <c r="J22" s="21" t="s">
        <v>29</v>
      </c>
      <c r="K22" s="19"/>
      <c r="L22" s="19"/>
      <c r="M22" s="19"/>
    </row>
    <row r="23" customFormat="false" ht="22.35" hidden="false" customHeight="false" outlineLevel="0" collapsed="false">
      <c r="A23" s="18" t="s">
        <v>180</v>
      </c>
      <c r="B23" s="19" t="s">
        <v>37</v>
      </c>
      <c r="C23" s="19" t="s">
        <v>165</v>
      </c>
      <c r="D23" s="22" t="s">
        <v>93</v>
      </c>
      <c r="E23" s="19" t="s">
        <v>71</v>
      </c>
      <c r="F23" s="19" t="s">
        <v>181</v>
      </c>
      <c r="G23" s="19" t="s">
        <v>182</v>
      </c>
      <c r="H23" s="19" t="s">
        <v>183</v>
      </c>
      <c r="I23" s="19" t="s">
        <v>184</v>
      </c>
      <c r="J23" s="21" t="s">
        <v>29</v>
      </c>
      <c r="K23" s="19"/>
      <c r="L23" s="19"/>
      <c r="M23" s="19"/>
    </row>
    <row r="24" customFormat="false" ht="22.35" hidden="false" customHeight="false" outlineLevel="0" collapsed="false">
      <c r="A24" s="18" t="s">
        <v>185</v>
      </c>
      <c r="B24" s="19" t="s">
        <v>37</v>
      </c>
      <c r="C24" s="19" t="s">
        <v>165</v>
      </c>
      <c r="D24" s="22" t="s">
        <v>93</v>
      </c>
      <c r="E24" s="19" t="s">
        <v>71</v>
      </c>
      <c r="F24" s="19" t="s">
        <v>186</v>
      </c>
      <c r="G24" s="19" t="s">
        <v>187</v>
      </c>
      <c r="H24" s="19" t="s">
        <v>188</v>
      </c>
      <c r="I24" s="19" t="s">
        <v>189</v>
      </c>
      <c r="J24" s="21" t="s">
        <v>29</v>
      </c>
      <c r="K24" s="19"/>
      <c r="L24" s="19"/>
      <c r="M24" s="19"/>
    </row>
    <row r="25" customFormat="false" ht="22.35" hidden="false" customHeight="false" outlineLevel="0" collapsed="false">
      <c r="A25" s="18" t="s">
        <v>190</v>
      </c>
      <c r="B25" s="19" t="s">
        <v>37</v>
      </c>
      <c r="C25" s="19" t="s">
        <v>165</v>
      </c>
      <c r="D25" s="22" t="s">
        <v>93</v>
      </c>
      <c r="E25" s="19" t="s">
        <v>71</v>
      </c>
      <c r="F25" s="19" t="s">
        <v>191</v>
      </c>
      <c r="G25" s="19" t="s">
        <v>192</v>
      </c>
      <c r="H25" s="19" t="s">
        <v>193</v>
      </c>
      <c r="I25" s="19" t="s">
        <v>194</v>
      </c>
      <c r="J25" s="21" t="s">
        <v>29</v>
      </c>
      <c r="K25" s="19"/>
      <c r="L25" s="19"/>
      <c r="M25" s="19"/>
    </row>
    <row r="26" customFormat="false" ht="22.35" hidden="false" customHeight="false" outlineLevel="0" collapsed="false">
      <c r="A26" s="18" t="s">
        <v>195</v>
      </c>
      <c r="B26" s="19" t="s">
        <v>37</v>
      </c>
      <c r="C26" s="19" t="s">
        <v>165</v>
      </c>
      <c r="D26" s="22" t="s">
        <v>93</v>
      </c>
      <c r="E26" s="19" t="s">
        <v>71</v>
      </c>
      <c r="F26" s="19" t="s">
        <v>196</v>
      </c>
      <c r="G26" s="19" t="s">
        <v>197</v>
      </c>
      <c r="H26" s="19" t="s">
        <v>198</v>
      </c>
      <c r="I26" s="19" t="s">
        <v>199</v>
      </c>
      <c r="J26" s="21" t="s">
        <v>29</v>
      </c>
      <c r="K26" s="19"/>
      <c r="L26" s="19"/>
      <c r="M26" s="19"/>
    </row>
    <row r="27" customFormat="false" ht="22.35" hidden="false" customHeight="false" outlineLevel="0" collapsed="false">
      <c r="A27" s="23" t="s">
        <v>200</v>
      </c>
      <c r="B27" s="12" t="s">
        <v>38</v>
      </c>
      <c r="C27" s="12" t="s">
        <v>165</v>
      </c>
      <c r="D27" s="26" t="s">
        <v>93</v>
      </c>
      <c r="E27" s="12" t="s">
        <v>71</v>
      </c>
      <c r="F27" s="12" t="s">
        <v>201</v>
      </c>
      <c r="G27" s="12" t="s">
        <v>202</v>
      </c>
      <c r="H27" s="12" t="s">
        <v>203</v>
      </c>
      <c r="I27" s="12" t="s">
        <v>204</v>
      </c>
      <c r="J27" s="25" t="s">
        <v>29</v>
      </c>
      <c r="K27" s="12"/>
      <c r="L27" s="12"/>
      <c r="M27" s="12"/>
    </row>
    <row r="28" customFormat="false" ht="22.35" hidden="false" customHeight="false" outlineLevel="0" collapsed="false">
      <c r="A28" s="23" t="s">
        <v>205</v>
      </c>
      <c r="B28" s="12" t="s">
        <v>38</v>
      </c>
      <c r="C28" s="12" t="s">
        <v>165</v>
      </c>
      <c r="D28" s="26" t="s">
        <v>93</v>
      </c>
      <c r="E28" s="12" t="s">
        <v>71</v>
      </c>
      <c r="F28" s="12" t="s">
        <v>206</v>
      </c>
      <c r="G28" s="12" t="s">
        <v>207</v>
      </c>
      <c r="H28" s="12" t="s">
        <v>208</v>
      </c>
      <c r="I28" s="12" t="s">
        <v>209</v>
      </c>
      <c r="J28" s="25" t="s">
        <v>29</v>
      </c>
      <c r="K28" s="12"/>
      <c r="L28" s="12"/>
      <c r="M28" s="12"/>
    </row>
    <row r="29" customFormat="false" ht="22.35" hidden="false" customHeight="false" outlineLevel="0" collapsed="false">
      <c r="A29" s="23" t="s">
        <v>210</v>
      </c>
      <c r="B29" s="12" t="s">
        <v>38</v>
      </c>
      <c r="C29" s="12" t="s">
        <v>165</v>
      </c>
      <c r="D29" s="26" t="s">
        <v>93</v>
      </c>
      <c r="E29" s="12" t="s">
        <v>71</v>
      </c>
      <c r="F29" s="12" t="s">
        <v>211</v>
      </c>
      <c r="G29" s="12" t="s">
        <v>212</v>
      </c>
      <c r="H29" s="12" t="s">
        <v>213</v>
      </c>
      <c r="I29" s="12" t="s">
        <v>214</v>
      </c>
      <c r="J29" s="25" t="s">
        <v>29</v>
      </c>
      <c r="K29" s="12"/>
      <c r="L29" s="12"/>
      <c r="M29" s="12"/>
    </row>
    <row r="30" customFormat="false" ht="22.35" hidden="false" customHeight="false" outlineLevel="0" collapsed="false">
      <c r="A30" s="23" t="s">
        <v>215</v>
      </c>
      <c r="B30" s="12" t="s">
        <v>38</v>
      </c>
      <c r="C30" s="12" t="s">
        <v>165</v>
      </c>
      <c r="D30" s="26" t="s">
        <v>93</v>
      </c>
      <c r="E30" s="12" t="s">
        <v>71</v>
      </c>
      <c r="F30" s="12" t="s">
        <v>216</v>
      </c>
      <c r="G30" s="12" t="s">
        <v>115</v>
      </c>
      <c r="H30" s="12" t="s">
        <v>217</v>
      </c>
      <c r="I30" s="12" t="s">
        <v>218</v>
      </c>
      <c r="J30" s="25" t="s">
        <v>29</v>
      </c>
      <c r="K30" s="12"/>
      <c r="L30" s="12"/>
      <c r="M30" s="12"/>
    </row>
    <row r="31" customFormat="false" ht="22.35" hidden="false" customHeight="false" outlineLevel="0" collapsed="false">
      <c r="A31" s="23" t="s">
        <v>219</v>
      </c>
      <c r="B31" s="12" t="s">
        <v>38</v>
      </c>
      <c r="C31" s="12" t="s">
        <v>165</v>
      </c>
      <c r="D31" s="26" t="s">
        <v>93</v>
      </c>
      <c r="E31" s="12" t="s">
        <v>71</v>
      </c>
      <c r="F31" s="12" t="s">
        <v>220</v>
      </c>
      <c r="G31" s="12" t="s">
        <v>221</v>
      </c>
      <c r="H31" s="12" t="s">
        <v>222</v>
      </c>
      <c r="I31" s="12" t="s">
        <v>223</v>
      </c>
      <c r="J31" s="25" t="s">
        <v>29</v>
      </c>
      <c r="K31" s="12"/>
      <c r="L31" s="12"/>
      <c r="M31" s="12"/>
    </row>
    <row r="32" customFormat="false" ht="22.35" hidden="false" customHeight="false" outlineLevel="0" collapsed="false">
      <c r="A32" s="23" t="s">
        <v>224</v>
      </c>
      <c r="B32" s="12" t="s">
        <v>38</v>
      </c>
      <c r="C32" s="12" t="s">
        <v>165</v>
      </c>
      <c r="D32" s="26" t="s">
        <v>93</v>
      </c>
      <c r="E32" s="12" t="s">
        <v>71</v>
      </c>
      <c r="F32" s="12" t="s">
        <v>225</v>
      </c>
      <c r="G32" s="12" t="s">
        <v>115</v>
      </c>
      <c r="H32" s="12" t="s">
        <v>226</v>
      </c>
      <c r="I32" s="12" t="s">
        <v>227</v>
      </c>
      <c r="J32" s="25" t="s">
        <v>29</v>
      </c>
      <c r="K32" s="12"/>
      <c r="L32" s="12"/>
      <c r="M32" s="12"/>
    </row>
    <row r="33" customFormat="false" ht="22.35" hidden="false" customHeight="false" outlineLevel="0" collapsed="false">
      <c r="A33" s="23" t="s">
        <v>228</v>
      </c>
      <c r="B33" s="12" t="s">
        <v>38</v>
      </c>
      <c r="C33" s="12" t="s">
        <v>165</v>
      </c>
      <c r="D33" s="26" t="s">
        <v>93</v>
      </c>
      <c r="E33" s="12" t="s">
        <v>71</v>
      </c>
      <c r="F33" s="12" t="s">
        <v>229</v>
      </c>
      <c r="G33" s="12" t="s">
        <v>230</v>
      </c>
      <c r="H33" s="12" t="s">
        <v>231</v>
      </c>
      <c r="I33" s="12" t="s">
        <v>232</v>
      </c>
      <c r="J33" s="25" t="s">
        <v>29</v>
      </c>
      <c r="K33" s="12"/>
      <c r="L33" s="12"/>
      <c r="M33" s="12"/>
    </row>
    <row r="34" customFormat="false" ht="22.35" hidden="false" customHeight="false" outlineLevel="0" collapsed="false">
      <c r="A34" s="23" t="s">
        <v>233</v>
      </c>
      <c r="B34" s="12" t="s">
        <v>38</v>
      </c>
      <c r="C34" s="12" t="s">
        <v>165</v>
      </c>
      <c r="D34" s="26" t="s">
        <v>93</v>
      </c>
      <c r="E34" s="12" t="s">
        <v>71</v>
      </c>
      <c r="F34" s="12" t="s">
        <v>234</v>
      </c>
      <c r="G34" s="12" t="s">
        <v>235</v>
      </c>
      <c r="H34" s="12" t="s">
        <v>236</v>
      </c>
      <c r="I34" s="12" t="s">
        <v>237</v>
      </c>
      <c r="J34" s="25" t="s">
        <v>29</v>
      </c>
      <c r="K34" s="12"/>
      <c r="L34" s="12"/>
      <c r="M34" s="12"/>
    </row>
    <row r="35" customFormat="false" ht="22.35" hidden="false" customHeight="false" outlineLevel="0" collapsed="false">
      <c r="A35" s="18" t="s">
        <v>238</v>
      </c>
      <c r="B35" s="19" t="s">
        <v>39</v>
      </c>
      <c r="C35" s="19" t="s">
        <v>239</v>
      </c>
      <c r="D35" s="20" t="s">
        <v>70</v>
      </c>
      <c r="E35" s="19" t="s">
        <v>82</v>
      </c>
      <c r="F35" s="19" t="s">
        <v>240</v>
      </c>
      <c r="G35" s="19" t="s">
        <v>241</v>
      </c>
      <c r="H35" s="19" t="s">
        <v>242</v>
      </c>
      <c r="I35" s="19" t="s">
        <v>243</v>
      </c>
      <c r="J35" s="21" t="s">
        <v>29</v>
      </c>
      <c r="K35" s="19"/>
      <c r="L35" s="19"/>
      <c r="M35" s="19"/>
    </row>
    <row r="36" customFormat="false" ht="22.35" hidden="false" customHeight="false" outlineLevel="0" collapsed="false">
      <c r="A36" s="18" t="s">
        <v>244</v>
      </c>
      <c r="B36" s="19" t="s">
        <v>39</v>
      </c>
      <c r="C36" s="19" t="s">
        <v>239</v>
      </c>
      <c r="D36" s="20" t="s">
        <v>70</v>
      </c>
      <c r="E36" s="19" t="s">
        <v>82</v>
      </c>
      <c r="F36" s="19" t="s">
        <v>245</v>
      </c>
      <c r="G36" s="19" t="s">
        <v>246</v>
      </c>
      <c r="H36" s="19" t="s">
        <v>247</v>
      </c>
      <c r="I36" s="19" t="s">
        <v>248</v>
      </c>
      <c r="J36" s="21" t="s">
        <v>29</v>
      </c>
      <c r="K36" s="19"/>
      <c r="L36" s="19"/>
      <c r="M36" s="19"/>
    </row>
    <row r="37" customFormat="false" ht="22.35" hidden="false" customHeight="false" outlineLevel="0" collapsed="false">
      <c r="A37" s="18" t="s">
        <v>249</v>
      </c>
      <c r="B37" s="19" t="s">
        <v>39</v>
      </c>
      <c r="C37" s="19" t="s">
        <v>239</v>
      </c>
      <c r="D37" s="20" t="s">
        <v>70</v>
      </c>
      <c r="E37" s="19" t="s">
        <v>82</v>
      </c>
      <c r="F37" s="19" t="s">
        <v>250</v>
      </c>
      <c r="G37" s="19" t="s">
        <v>246</v>
      </c>
      <c r="H37" s="19" t="s">
        <v>251</v>
      </c>
      <c r="I37" s="19" t="s">
        <v>252</v>
      </c>
      <c r="J37" s="21" t="s">
        <v>29</v>
      </c>
      <c r="K37" s="19"/>
      <c r="L37" s="19"/>
      <c r="M37" s="19"/>
    </row>
    <row r="38" customFormat="false" ht="22.35" hidden="false" customHeight="false" outlineLevel="0" collapsed="false">
      <c r="A38" s="18" t="s">
        <v>253</v>
      </c>
      <c r="B38" s="19" t="s">
        <v>39</v>
      </c>
      <c r="C38" s="19" t="s">
        <v>239</v>
      </c>
      <c r="D38" s="22" t="s">
        <v>93</v>
      </c>
      <c r="E38" s="19" t="s">
        <v>82</v>
      </c>
      <c r="F38" s="19" t="s">
        <v>254</v>
      </c>
      <c r="G38" s="19" t="s">
        <v>255</v>
      </c>
      <c r="H38" s="19" t="s">
        <v>256</v>
      </c>
      <c r="I38" s="19" t="s">
        <v>257</v>
      </c>
      <c r="J38" s="21" t="s">
        <v>29</v>
      </c>
      <c r="K38" s="19"/>
      <c r="L38" s="19"/>
      <c r="M38" s="19"/>
    </row>
    <row r="39" customFormat="false" ht="22.35" hidden="false" customHeight="false" outlineLevel="0" collapsed="false">
      <c r="A39" s="23" t="s">
        <v>258</v>
      </c>
      <c r="B39" s="12" t="s">
        <v>40</v>
      </c>
      <c r="C39" s="12" t="s">
        <v>124</v>
      </c>
      <c r="D39" s="24" t="s">
        <v>70</v>
      </c>
      <c r="E39" s="12" t="s">
        <v>71</v>
      </c>
      <c r="F39" s="12" t="s">
        <v>259</v>
      </c>
      <c r="G39" s="12" t="s">
        <v>260</v>
      </c>
      <c r="H39" s="12" t="s">
        <v>261</v>
      </c>
      <c r="I39" s="12" t="s">
        <v>262</v>
      </c>
      <c r="J39" s="25" t="s">
        <v>29</v>
      </c>
      <c r="K39" s="12"/>
      <c r="L39" s="12"/>
      <c r="M39" s="12"/>
    </row>
    <row r="40" customFormat="false" ht="22.35" hidden="false" customHeight="false" outlineLevel="0" collapsed="false">
      <c r="A40" s="23" t="s">
        <v>263</v>
      </c>
      <c r="B40" s="12" t="s">
        <v>40</v>
      </c>
      <c r="C40" s="12" t="s">
        <v>124</v>
      </c>
      <c r="D40" s="24" t="s">
        <v>70</v>
      </c>
      <c r="E40" s="12" t="s">
        <v>71</v>
      </c>
      <c r="F40" s="12" t="s">
        <v>264</v>
      </c>
      <c r="G40" s="12" t="s">
        <v>265</v>
      </c>
      <c r="H40" s="12" t="s">
        <v>266</v>
      </c>
      <c r="I40" s="12" t="s">
        <v>267</v>
      </c>
      <c r="J40" s="25" t="s">
        <v>29</v>
      </c>
      <c r="K40" s="12"/>
      <c r="L40" s="12"/>
      <c r="M40" s="12"/>
    </row>
    <row r="41" customFormat="false" ht="22.35" hidden="false" customHeight="false" outlineLevel="0" collapsed="false">
      <c r="A41" s="23" t="s">
        <v>268</v>
      </c>
      <c r="B41" s="12" t="s">
        <v>40</v>
      </c>
      <c r="C41" s="12" t="s">
        <v>124</v>
      </c>
      <c r="D41" s="24" t="s">
        <v>70</v>
      </c>
      <c r="E41" s="12" t="s">
        <v>82</v>
      </c>
      <c r="F41" s="12" t="s">
        <v>269</v>
      </c>
      <c r="G41" s="12" t="s">
        <v>115</v>
      </c>
      <c r="H41" s="12" t="s">
        <v>270</v>
      </c>
      <c r="I41" s="12" t="s">
        <v>271</v>
      </c>
      <c r="J41" s="25" t="s">
        <v>29</v>
      </c>
      <c r="K41" s="12"/>
      <c r="L41" s="12"/>
      <c r="M41" s="12"/>
    </row>
    <row r="42" customFormat="false" ht="22.35" hidden="false" customHeight="false" outlineLevel="0" collapsed="false">
      <c r="A42" s="23" t="s">
        <v>272</v>
      </c>
      <c r="B42" s="12" t="s">
        <v>40</v>
      </c>
      <c r="C42" s="12" t="s">
        <v>124</v>
      </c>
      <c r="D42" s="26" t="s">
        <v>93</v>
      </c>
      <c r="E42" s="12" t="s">
        <v>71</v>
      </c>
      <c r="F42" s="12" t="s">
        <v>273</v>
      </c>
      <c r="G42" s="12" t="s">
        <v>274</v>
      </c>
      <c r="H42" s="12" t="s">
        <v>275</v>
      </c>
      <c r="I42" s="12" t="s">
        <v>276</v>
      </c>
      <c r="J42" s="25" t="s">
        <v>29</v>
      </c>
      <c r="K42" s="12"/>
      <c r="L42" s="12"/>
      <c r="M42" s="12"/>
    </row>
    <row r="43" customFormat="false" ht="22.35" hidden="false" customHeight="false" outlineLevel="0" collapsed="false">
      <c r="A43" s="23" t="s">
        <v>277</v>
      </c>
      <c r="B43" s="12" t="s">
        <v>40</v>
      </c>
      <c r="C43" s="12" t="s">
        <v>124</v>
      </c>
      <c r="D43" s="26" t="s">
        <v>93</v>
      </c>
      <c r="E43" s="12" t="s">
        <v>71</v>
      </c>
      <c r="F43" s="12" t="s">
        <v>278</v>
      </c>
      <c r="G43" s="12" t="s">
        <v>265</v>
      </c>
      <c r="H43" s="12" t="s">
        <v>279</v>
      </c>
      <c r="I43" s="12" t="s">
        <v>280</v>
      </c>
      <c r="J43" s="25" t="s">
        <v>29</v>
      </c>
      <c r="K43" s="12"/>
      <c r="L43" s="12"/>
      <c r="M43" s="12"/>
    </row>
    <row r="44" customFormat="false" ht="22.35" hidden="false" customHeight="false" outlineLevel="0" collapsed="false">
      <c r="A44" s="23" t="s">
        <v>281</v>
      </c>
      <c r="B44" s="12" t="s">
        <v>40</v>
      </c>
      <c r="C44" s="12" t="s">
        <v>124</v>
      </c>
      <c r="D44" s="26" t="s">
        <v>93</v>
      </c>
      <c r="E44" s="12" t="s">
        <v>71</v>
      </c>
      <c r="F44" s="12" t="s">
        <v>282</v>
      </c>
      <c r="G44" s="12" t="s">
        <v>283</v>
      </c>
      <c r="H44" s="12" t="s">
        <v>284</v>
      </c>
      <c r="I44" s="12" t="s">
        <v>285</v>
      </c>
      <c r="J44" s="25" t="s">
        <v>29</v>
      </c>
      <c r="K44" s="12"/>
      <c r="L44" s="12"/>
      <c r="M44" s="12"/>
    </row>
    <row r="45" customFormat="false" ht="22.35" hidden="false" customHeight="false" outlineLevel="0" collapsed="false">
      <c r="A45" s="18" t="s">
        <v>286</v>
      </c>
      <c r="B45" s="19" t="s">
        <v>41</v>
      </c>
      <c r="C45" s="19" t="s">
        <v>124</v>
      </c>
      <c r="D45" s="20" t="s">
        <v>70</v>
      </c>
      <c r="E45" s="19" t="s">
        <v>71</v>
      </c>
      <c r="F45" s="19" t="s">
        <v>287</v>
      </c>
      <c r="G45" s="19" t="s">
        <v>288</v>
      </c>
      <c r="H45" s="19" t="s">
        <v>289</v>
      </c>
      <c r="I45" s="19" t="s">
        <v>290</v>
      </c>
      <c r="J45" s="21" t="s">
        <v>29</v>
      </c>
      <c r="K45" s="19"/>
      <c r="L45" s="19"/>
      <c r="M45" s="19"/>
    </row>
    <row r="46" customFormat="false" ht="22.35" hidden="false" customHeight="false" outlineLevel="0" collapsed="false">
      <c r="A46" s="18" t="s">
        <v>291</v>
      </c>
      <c r="B46" s="19" t="s">
        <v>41</v>
      </c>
      <c r="C46" s="19" t="s">
        <v>124</v>
      </c>
      <c r="D46" s="22" t="s">
        <v>93</v>
      </c>
      <c r="E46" s="19" t="s">
        <v>71</v>
      </c>
      <c r="F46" s="19" t="s">
        <v>292</v>
      </c>
      <c r="G46" s="19" t="s">
        <v>293</v>
      </c>
      <c r="H46" s="19" t="s">
        <v>294</v>
      </c>
      <c r="I46" s="19" t="s">
        <v>295</v>
      </c>
      <c r="J46" s="21" t="s">
        <v>29</v>
      </c>
      <c r="K46" s="19"/>
      <c r="L46" s="19"/>
      <c r="M46" s="19"/>
    </row>
    <row r="47" customFormat="false" ht="22.35" hidden="false" customHeight="false" outlineLevel="0" collapsed="false">
      <c r="A47" s="18" t="s">
        <v>296</v>
      </c>
      <c r="B47" s="19" t="s">
        <v>41</v>
      </c>
      <c r="C47" s="19" t="s">
        <v>124</v>
      </c>
      <c r="D47" s="22" t="s">
        <v>93</v>
      </c>
      <c r="E47" s="19" t="s">
        <v>71</v>
      </c>
      <c r="F47" s="19" t="s">
        <v>297</v>
      </c>
      <c r="G47" s="19" t="s">
        <v>115</v>
      </c>
      <c r="H47" s="19" t="s">
        <v>298</v>
      </c>
      <c r="I47" s="19" t="s">
        <v>299</v>
      </c>
      <c r="J47" s="21" t="s">
        <v>29</v>
      </c>
      <c r="K47" s="19"/>
      <c r="L47" s="19"/>
      <c r="M47" s="19"/>
    </row>
    <row r="48" customFormat="false" ht="22.35" hidden="false" customHeight="false" outlineLevel="0" collapsed="false">
      <c r="A48" s="18" t="s">
        <v>300</v>
      </c>
      <c r="B48" s="19" t="s">
        <v>41</v>
      </c>
      <c r="C48" s="19" t="s">
        <v>124</v>
      </c>
      <c r="D48" s="22" t="s">
        <v>93</v>
      </c>
      <c r="E48" s="19" t="s">
        <v>71</v>
      </c>
      <c r="F48" s="19" t="s">
        <v>301</v>
      </c>
      <c r="G48" s="19" t="s">
        <v>302</v>
      </c>
      <c r="H48" s="19" t="s">
        <v>303</v>
      </c>
      <c r="I48" s="19" t="s">
        <v>304</v>
      </c>
      <c r="J48" s="21" t="s">
        <v>29</v>
      </c>
      <c r="K48" s="19"/>
      <c r="L48" s="19"/>
      <c r="M48" s="19"/>
    </row>
    <row r="49" customFormat="false" ht="22.35" hidden="false" customHeight="false" outlineLevel="0" collapsed="false">
      <c r="A49" s="18" t="s">
        <v>305</v>
      </c>
      <c r="B49" s="19" t="s">
        <v>41</v>
      </c>
      <c r="C49" s="19" t="s">
        <v>124</v>
      </c>
      <c r="D49" s="22" t="s">
        <v>93</v>
      </c>
      <c r="E49" s="19" t="s">
        <v>71</v>
      </c>
      <c r="F49" s="19" t="s">
        <v>306</v>
      </c>
      <c r="G49" s="19" t="s">
        <v>115</v>
      </c>
      <c r="H49" s="19" t="s">
        <v>307</v>
      </c>
      <c r="I49" s="19" t="s">
        <v>308</v>
      </c>
      <c r="J49" s="21" t="s">
        <v>29</v>
      </c>
      <c r="K49" s="19"/>
      <c r="L49" s="19"/>
      <c r="M49" s="19"/>
    </row>
    <row r="50" customFormat="false" ht="22.35" hidden="false" customHeight="false" outlineLevel="0" collapsed="false">
      <c r="A50" s="18" t="s">
        <v>309</v>
      </c>
      <c r="B50" s="19" t="s">
        <v>41</v>
      </c>
      <c r="C50" s="19" t="s">
        <v>124</v>
      </c>
      <c r="D50" s="22" t="s">
        <v>93</v>
      </c>
      <c r="E50" s="19" t="s">
        <v>71</v>
      </c>
      <c r="F50" s="19" t="s">
        <v>310</v>
      </c>
      <c r="G50" s="19" t="s">
        <v>311</v>
      </c>
      <c r="H50" s="19" t="s">
        <v>312</v>
      </c>
      <c r="I50" s="19" t="s">
        <v>313</v>
      </c>
      <c r="J50" s="21" t="s">
        <v>29</v>
      </c>
      <c r="K50" s="19"/>
      <c r="L50" s="19"/>
      <c r="M50" s="19"/>
    </row>
    <row r="51" customFormat="false" ht="22.35" hidden="false" customHeight="false" outlineLevel="0" collapsed="false">
      <c r="A51" s="23" t="s">
        <v>314</v>
      </c>
      <c r="B51" s="12" t="s">
        <v>42</v>
      </c>
      <c r="C51" s="12" t="s">
        <v>124</v>
      </c>
      <c r="D51" s="26" t="s">
        <v>93</v>
      </c>
      <c r="E51" s="12" t="s">
        <v>71</v>
      </c>
      <c r="F51" s="12" t="s">
        <v>315</v>
      </c>
      <c r="G51" s="12" t="s">
        <v>316</v>
      </c>
      <c r="H51" s="12" t="s">
        <v>317</v>
      </c>
      <c r="I51" s="12" t="s">
        <v>318</v>
      </c>
      <c r="J51" s="25" t="s">
        <v>29</v>
      </c>
      <c r="K51" s="12"/>
      <c r="L51" s="12"/>
      <c r="M51" s="12"/>
    </row>
    <row r="52" customFormat="false" ht="22.35" hidden="false" customHeight="false" outlineLevel="0" collapsed="false">
      <c r="A52" s="23" t="s">
        <v>319</v>
      </c>
      <c r="B52" s="12" t="s">
        <v>42</v>
      </c>
      <c r="C52" s="12" t="s">
        <v>124</v>
      </c>
      <c r="D52" s="26" t="s">
        <v>93</v>
      </c>
      <c r="E52" s="12" t="s">
        <v>71</v>
      </c>
      <c r="F52" s="12" t="s">
        <v>320</v>
      </c>
      <c r="G52" s="12" t="s">
        <v>321</v>
      </c>
      <c r="H52" s="12" t="s">
        <v>322</v>
      </c>
      <c r="I52" s="12" t="s">
        <v>323</v>
      </c>
      <c r="J52" s="25" t="s">
        <v>29</v>
      </c>
      <c r="K52" s="12"/>
      <c r="L52" s="12"/>
      <c r="M52" s="12"/>
    </row>
    <row r="53" customFormat="false" ht="22.35" hidden="false" customHeight="false" outlineLevel="0" collapsed="false">
      <c r="A53" s="23" t="s">
        <v>324</v>
      </c>
      <c r="B53" s="12" t="s">
        <v>42</v>
      </c>
      <c r="C53" s="12" t="s">
        <v>124</v>
      </c>
      <c r="D53" s="26" t="s">
        <v>93</v>
      </c>
      <c r="E53" s="12" t="s">
        <v>71</v>
      </c>
      <c r="F53" s="12" t="s">
        <v>325</v>
      </c>
      <c r="G53" s="12" t="s">
        <v>115</v>
      </c>
      <c r="H53" s="12" t="s">
        <v>326</v>
      </c>
      <c r="I53" s="12" t="s">
        <v>327</v>
      </c>
      <c r="J53" s="25" t="s">
        <v>29</v>
      </c>
      <c r="K53" s="12"/>
      <c r="L53" s="12"/>
      <c r="M53" s="12"/>
    </row>
    <row r="54" customFormat="false" ht="22.35" hidden="false" customHeight="false" outlineLevel="0" collapsed="false">
      <c r="A54" s="23" t="s">
        <v>328</v>
      </c>
      <c r="B54" s="12" t="s">
        <v>42</v>
      </c>
      <c r="C54" s="12" t="s">
        <v>124</v>
      </c>
      <c r="D54" s="26" t="s">
        <v>93</v>
      </c>
      <c r="E54" s="12" t="s">
        <v>71</v>
      </c>
      <c r="F54" s="12" t="s">
        <v>329</v>
      </c>
      <c r="G54" s="12" t="s">
        <v>115</v>
      </c>
      <c r="H54" s="12" t="s">
        <v>330</v>
      </c>
      <c r="I54" s="12" t="s">
        <v>331</v>
      </c>
      <c r="J54" s="25" t="s">
        <v>29</v>
      </c>
      <c r="K54" s="12"/>
      <c r="L54" s="12"/>
      <c r="M54" s="12"/>
    </row>
    <row r="55" customFormat="false" ht="22.35" hidden="false" customHeight="false" outlineLevel="0" collapsed="false">
      <c r="A55" s="23" t="s">
        <v>332</v>
      </c>
      <c r="B55" s="12" t="s">
        <v>42</v>
      </c>
      <c r="C55" s="12" t="s">
        <v>124</v>
      </c>
      <c r="D55" s="26" t="s">
        <v>93</v>
      </c>
      <c r="E55" s="12" t="s">
        <v>71</v>
      </c>
      <c r="F55" s="12" t="s">
        <v>333</v>
      </c>
      <c r="G55" s="12" t="s">
        <v>115</v>
      </c>
      <c r="H55" s="12" t="s">
        <v>334</v>
      </c>
      <c r="I55" s="12" t="s">
        <v>335</v>
      </c>
      <c r="J55" s="25" t="s">
        <v>29</v>
      </c>
      <c r="K55" s="12"/>
      <c r="L55" s="12"/>
      <c r="M55" s="12"/>
    </row>
    <row r="56" customFormat="false" ht="22.35" hidden="false" customHeight="false" outlineLevel="0" collapsed="false">
      <c r="A56" s="18" t="s">
        <v>336</v>
      </c>
      <c r="B56" s="19" t="s">
        <v>43</v>
      </c>
      <c r="C56" s="19" t="s">
        <v>337</v>
      </c>
      <c r="D56" s="20" t="s">
        <v>70</v>
      </c>
      <c r="E56" s="19" t="s">
        <v>71</v>
      </c>
      <c r="F56" s="19" t="s">
        <v>338</v>
      </c>
      <c r="G56" s="19" t="s">
        <v>339</v>
      </c>
      <c r="H56" s="19" t="s">
        <v>340</v>
      </c>
      <c r="I56" s="19" t="s">
        <v>341</v>
      </c>
      <c r="J56" s="21" t="s">
        <v>29</v>
      </c>
      <c r="K56" s="19"/>
      <c r="L56" s="19"/>
      <c r="M56" s="19"/>
    </row>
    <row r="57" customFormat="false" ht="22.35" hidden="false" customHeight="false" outlineLevel="0" collapsed="false">
      <c r="A57" s="18" t="s">
        <v>342</v>
      </c>
      <c r="B57" s="19" t="s">
        <v>43</v>
      </c>
      <c r="C57" s="19" t="s">
        <v>337</v>
      </c>
      <c r="D57" s="20" t="s">
        <v>70</v>
      </c>
      <c r="E57" s="19" t="s">
        <v>82</v>
      </c>
      <c r="F57" s="19" t="s">
        <v>343</v>
      </c>
      <c r="G57" s="19" t="s">
        <v>344</v>
      </c>
      <c r="H57" s="19" t="s">
        <v>345</v>
      </c>
      <c r="I57" s="19" t="s">
        <v>346</v>
      </c>
      <c r="J57" s="21" t="s">
        <v>29</v>
      </c>
      <c r="K57" s="19"/>
      <c r="L57" s="19"/>
      <c r="M57" s="19"/>
    </row>
    <row r="58" customFormat="false" ht="22.35" hidden="false" customHeight="false" outlineLevel="0" collapsed="false">
      <c r="A58" s="18" t="s">
        <v>347</v>
      </c>
      <c r="B58" s="19" t="s">
        <v>43</v>
      </c>
      <c r="C58" s="19" t="s">
        <v>337</v>
      </c>
      <c r="D58" s="22" t="s">
        <v>93</v>
      </c>
      <c r="E58" s="19" t="s">
        <v>71</v>
      </c>
      <c r="F58" s="19" t="s">
        <v>348</v>
      </c>
      <c r="G58" s="19" t="s">
        <v>349</v>
      </c>
      <c r="H58" s="19" t="s">
        <v>350</v>
      </c>
      <c r="I58" s="19" t="s">
        <v>351</v>
      </c>
      <c r="J58" s="21" t="s">
        <v>29</v>
      </c>
      <c r="K58" s="19"/>
      <c r="L58" s="19"/>
      <c r="M58" s="19"/>
    </row>
    <row r="59" customFormat="false" ht="22.35" hidden="false" customHeight="false" outlineLevel="0" collapsed="false">
      <c r="A59" s="18" t="s">
        <v>352</v>
      </c>
      <c r="B59" s="19" t="s">
        <v>43</v>
      </c>
      <c r="C59" s="19" t="s">
        <v>337</v>
      </c>
      <c r="D59" s="22" t="s">
        <v>93</v>
      </c>
      <c r="E59" s="19" t="s">
        <v>71</v>
      </c>
      <c r="F59" s="19" t="s">
        <v>353</v>
      </c>
      <c r="G59" s="19" t="s">
        <v>354</v>
      </c>
      <c r="H59" s="19" t="s">
        <v>355</v>
      </c>
      <c r="I59" s="19" t="s">
        <v>356</v>
      </c>
      <c r="J59" s="21" t="s">
        <v>29</v>
      </c>
      <c r="K59" s="19"/>
      <c r="L59" s="19"/>
      <c r="M59" s="19"/>
    </row>
    <row r="60" customFormat="false" ht="22.35" hidden="false" customHeight="false" outlineLevel="0" collapsed="false">
      <c r="A60" s="18" t="s">
        <v>357</v>
      </c>
      <c r="B60" s="19" t="s">
        <v>43</v>
      </c>
      <c r="C60" s="19" t="s">
        <v>337</v>
      </c>
      <c r="D60" s="22" t="s">
        <v>93</v>
      </c>
      <c r="E60" s="19" t="s">
        <v>71</v>
      </c>
      <c r="F60" s="19" t="s">
        <v>358</v>
      </c>
      <c r="G60" s="19" t="s">
        <v>359</v>
      </c>
      <c r="H60" s="19" t="s">
        <v>360</v>
      </c>
      <c r="I60" s="19" t="s">
        <v>361</v>
      </c>
      <c r="J60" s="21" t="s">
        <v>29</v>
      </c>
      <c r="K60" s="19"/>
      <c r="L60" s="19"/>
      <c r="M60" s="19"/>
    </row>
    <row r="61" customFormat="false" ht="32.8" hidden="false" customHeight="false" outlineLevel="0" collapsed="false">
      <c r="A61" s="18" t="s">
        <v>362</v>
      </c>
      <c r="B61" s="19" t="s">
        <v>43</v>
      </c>
      <c r="C61" s="19" t="s">
        <v>337</v>
      </c>
      <c r="D61" s="20" t="s">
        <v>70</v>
      </c>
      <c r="E61" s="19" t="s">
        <v>82</v>
      </c>
      <c r="F61" s="19" t="s">
        <v>363</v>
      </c>
      <c r="G61" s="19" t="s">
        <v>364</v>
      </c>
      <c r="H61" s="19" t="s">
        <v>365</v>
      </c>
      <c r="I61" s="19" t="s">
        <v>366</v>
      </c>
      <c r="J61" s="21" t="s">
        <v>29</v>
      </c>
      <c r="K61" s="19"/>
      <c r="L61" s="19"/>
      <c r="M61" s="19"/>
    </row>
    <row r="62" customFormat="false" ht="22.35" hidden="false" customHeight="false" outlineLevel="0" collapsed="false">
      <c r="A62" s="18" t="s">
        <v>367</v>
      </c>
      <c r="B62" s="19" t="s">
        <v>43</v>
      </c>
      <c r="C62" s="19" t="s">
        <v>337</v>
      </c>
      <c r="D62" s="22" t="s">
        <v>93</v>
      </c>
      <c r="E62" s="19" t="s">
        <v>71</v>
      </c>
      <c r="F62" s="19" t="s">
        <v>368</v>
      </c>
      <c r="G62" s="19" t="s">
        <v>369</v>
      </c>
      <c r="H62" s="19" t="s">
        <v>370</v>
      </c>
      <c r="I62" s="19" t="s">
        <v>371</v>
      </c>
      <c r="J62" s="21" t="s">
        <v>29</v>
      </c>
      <c r="K62" s="19"/>
      <c r="L62" s="19"/>
      <c r="M62" s="19"/>
    </row>
    <row r="63" customFormat="false" ht="22.35" hidden="false" customHeight="false" outlineLevel="0" collapsed="false">
      <c r="A63" s="23" t="s">
        <v>372</v>
      </c>
      <c r="B63" s="12" t="s">
        <v>44</v>
      </c>
      <c r="C63" s="12" t="s">
        <v>373</v>
      </c>
      <c r="D63" s="24" t="s">
        <v>70</v>
      </c>
      <c r="E63" s="12" t="s">
        <v>71</v>
      </c>
      <c r="F63" s="12" t="s">
        <v>374</v>
      </c>
      <c r="G63" s="12" t="s">
        <v>375</v>
      </c>
      <c r="H63" s="12" t="s">
        <v>376</v>
      </c>
      <c r="I63" s="12" t="s">
        <v>377</v>
      </c>
      <c r="J63" s="25" t="s">
        <v>29</v>
      </c>
      <c r="K63" s="12"/>
      <c r="L63" s="12"/>
      <c r="M63" s="12"/>
    </row>
    <row r="64" customFormat="false" ht="22.35" hidden="false" customHeight="false" outlineLevel="0" collapsed="false">
      <c r="A64" s="23" t="s">
        <v>378</v>
      </c>
      <c r="B64" s="12" t="s">
        <v>44</v>
      </c>
      <c r="C64" s="12" t="s">
        <v>373</v>
      </c>
      <c r="D64" s="24" t="s">
        <v>70</v>
      </c>
      <c r="E64" s="12" t="s">
        <v>71</v>
      </c>
      <c r="F64" s="12" t="s">
        <v>379</v>
      </c>
      <c r="G64" s="12" t="s">
        <v>380</v>
      </c>
      <c r="H64" s="12" t="s">
        <v>381</v>
      </c>
      <c r="I64" s="12" t="s">
        <v>382</v>
      </c>
      <c r="J64" s="25" t="s">
        <v>29</v>
      </c>
      <c r="K64" s="12"/>
      <c r="L64" s="12"/>
      <c r="M64" s="12"/>
    </row>
    <row r="65" customFormat="false" ht="22.35" hidden="false" customHeight="false" outlineLevel="0" collapsed="false">
      <c r="A65" s="23" t="s">
        <v>383</v>
      </c>
      <c r="B65" s="12" t="s">
        <v>44</v>
      </c>
      <c r="C65" s="12" t="s">
        <v>373</v>
      </c>
      <c r="D65" s="24" t="s">
        <v>70</v>
      </c>
      <c r="E65" s="12" t="s">
        <v>82</v>
      </c>
      <c r="F65" s="12" t="s">
        <v>384</v>
      </c>
      <c r="G65" s="12" t="s">
        <v>385</v>
      </c>
      <c r="H65" s="12" t="s">
        <v>386</v>
      </c>
      <c r="I65" s="12" t="s">
        <v>387</v>
      </c>
      <c r="J65" s="25" t="s">
        <v>29</v>
      </c>
      <c r="K65" s="12"/>
      <c r="L65" s="12"/>
      <c r="M65" s="12"/>
    </row>
    <row r="66" customFormat="false" ht="22.35" hidden="false" customHeight="false" outlineLevel="0" collapsed="false">
      <c r="A66" s="23" t="s">
        <v>388</v>
      </c>
      <c r="B66" s="12" t="s">
        <v>44</v>
      </c>
      <c r="C66" s="12" t="s">
        <v>373</v>
      </c>
      <c r="D66" s="24" t="s">
        <v>70</v>
      </c>
      <c r="E66" s="12" t="s">
        <v>71</v>
      </c>
      <c r="F66" s="12" t="s">
        <v>389</v>
      </c>
      <c r="G66" s="12" t="s">
        <v>390</v>
      </c>
      <c r="H66" s="12" t="s">
        <v>391</v>
      </c>
      <c r="I66" s="12" t="s">
        <v>392</v>
      </c>
      <c r="J66" s="25" t="s">
        <v>29</v>
      </c>
      <c r="K66" s="12"/>
      <c r="L66" s="12"/>
      <c r="M66" s="12"/>
    </row>
    <row r="67" customFormat="false" ht="22.35" hidden="false" customHeight="false" outlineLevel="0" collapsed="false">
      <c r="A67" s="23" t="s">
        <v>393</v>
      </c>
      <c r="B67" s="12" t="s">
        <v>44</v>
      </c>
      <c r="C67" s="12" t="s">
        <v>373</v>
      </c>
      <c r="D67" s="26" t="s">
        <v>93</v>
      </c>
      <c r="E67" s="12" t="s">
        <v>82</v>
      </c>
      <c r="F67" s="12" t="s">
        <v>394</v>
      </c>
      <c r="G67" s="12" t="s">
        <v>115</v>
      </c>
      <c r="H67" s="12" t="s">
        <v>395</v>
      </c>
      <c r="I67" s="12" t="s">
        <v>396</v>
      </c>
      <c r="J67" s="25" t="s">
        <v>29</v>
      </c>
      <c r="K67" s="12"/>
      <c r="L67" s="12"/>
      <c r="M67" s="12"/>
    </row>
    <row r="68" customFormat="false" ht="22.35" hidden="false" customHeight="false" outlineLevel="0" collapsed="false">
      <c r="A68" s="18" t="s">
        <v>397</v>
      </c>
      <c r="B68" s="19" t="s">
        <v>45</v>
      </c>
      <c r="C68" s="19" t="s">
        <v>124</v>
      </c>
      <c r="D68" s="22" t="s">
        <v>93</v>
      </c>
      <c r="E68" s="19" t="s">
        <v>71</v>
      </c>
      <c r="F68" s="19" t="s">
        <v>398</v>
      </c>
      <c r="G68" s="19" t="s">
        <v>399</v>
      </c>
      <c r="H68" s="19" t="s">
        <v>400</v>
      </c>
      <c r="I68" s="19" t="s">
        <v>401</v>
      </c>
      <c r="J68" s="21" t="s">
        <v>29</v>
      </c>
      <c r="K68" s="19"/>
      <c r="L68" s="19"/>
      <c r="M68" s="19"/>
    </row>
    <row r="69" customFormat="false" ht="15" hidden="false" customHeight="false" outlineLevel="0" collapsed="false">
      <c r="A69" s="18" t="s">
        <v>402</v>
      </c>
      <c r="B69" s="19" t="s">
        <v>45</v>
      </c>
      <c r="C69" s="19" t="s">
        <v>124</v>
      </c>
      <c r="D69" s="22" t="s">
        <v>93</v>
      </c>
      <c r="E69" s="19" t="s">
        <v>71</v>
      </c>
      <c r="F69" s="19" t="s">
        <v>403</v>
      </c>
      <c r="G69" s="19" t="s">
        <v>404</v>
      </c>
      <c r="H69" s="19" t="s">
        <v>405</v>
      </c>
      <c r="I69" s="19" t="s">
        <v>406</v>
      </c>
      <c r="J69" s="21" t="s">
        <v>29</v>
      </c>
      <c r="K69" s="19"/>
      <c r="L69" s="19"/>
      <c r="M69" s="19"/>
    </row>
    <row r="70" customFormat="false" ht="22.35" hidden="false" customHeight="false" outlineLevel="0" collapsed="false">
      <c r="A70" s="18" t="s">
        <v>407</v>
      </c>
      <c r="B70" s="19" t="s">
        <v>45</v>
      </c>
      <c r="C70" s="19" t="s">
        <v>124</v>
      </c>
      <c r="D70" s="22" t="s">
        <v>93</v>
      </c>
      <c r="E70" s="19" t="s">
        <v>71</v>
      </c>
      <c r="F70" s="19" t="s">
        <v>408</v>
      </c>
      <c r="G70" s="19" t="s">
        <v>409</v>
      </c>
      <c r="H70" s="19" t="s">
        <v>410</v>
      </c>
      <c r="I70" s="19" t="s">
        <v>411</v>
      </c>
      <c r="J70" s="21" t="s">
        <v>29</v>
      </c>
      <c r="K70" s="19"/>
      <c r="L70" s="19"/>
      <c r="M70" s="19"/>
    </row>
    <row r="71" customFormat="false" ht="22.35" hidden="false" customHeight="false" outlineLevel="0" collapsed="false">
      <c r="A71" s="18" t="s">
        <v>412</v>
      </c>
      <c r="B71" s="19" t="s">
        <v>45</v>
      </c>
      <c r="C71" s="19" t="s">
        <v>124</v>
      </c>
      <c r="D71" s="22" t="s">
        <v>93</v>
      </c>
      <c r="E71" s="19" t="s">
        <v>82</v>
      </c>
      <c r="F71" s="19" t="s">
        <v>413</v>
      </c>
      <c r="G71" s="19" t="s">
        <v>414</v>
      </c>
      <c r="H71" s="19" t="s">
        <v>415</v>
      </c>
      <c r="I71" s="19" t="s">
        <v>416</v>
      </c>
      <c r="J71" s="21" t="s">
        <v>29</v>
      </c>
      <c r="K71" s="19"/>
      <c r="L71" s="19"/>
      <c r="M71" s="19"/>
    </row>
    <row r="72" customFormat="false" ht="22.35" hidden="false" customHeight="false" outlineLevel="0" collapsed="false">
      <c r="A72" s="18" t="s">
        <v>417</v>
      </c>
      <c r="B72" s="19" t="s">
        <v>45</v>
      </c>
      <c r="C72" s="19" t="s">
        <v>124</v>
      </c>
      <c r="D72" s="22" t="s">
        <v>93</v>
      </c>
      <c r="E72" s="19" t="s">
        <v>82</v>
      </c>
      <c r="F72" s="19" t="s">
        <v>418</v>
      </c>
      <c r="G72" s="19" t="s">
        <v>419</v>
      </c>
      <c r="H72" s="19" t="s">
        <v>420</v>
      </c>
      <c r="I72" s="19" t="s">
        <v>421</v>
      </c>
      <c r="J72" s="21" t="s">
        <v>29</v>
      </c>
      <c r="K72" s="19"/>
      <c r="L72" s="19"/>
      <c r="M72" s="19"/>
    </row>
    <row r="73" customFormat="false" ht="22.35" hidden="false" customHeight="false" outlineLevel="0" collapsed="false">
      <c r="A73" s="18" t="s">
        <v>422</v>
      </c>
      <c r="B73" s="19" t="s">
        <v>45</v>
      </c>
      <c r="C73" s="19" t="s">
        <v>124</v>
      </c>
      <c r="D73" s="22" t="s">
        <v>93</v>
      </c>
      <c r="E73" s="19" t="s">
        <v>71</v>
      </c>
      <c r="F73" s="19" t="s">
        <v>423</v>
      </c>
      <c r="G73" s="19" t="s">
        <v>424</v>
      </c>
      <c r="H73" s="19" t="s">
        <v>425</v>
      </c>
      <c r="I73" s="19" t="s">
        <v>426</v>
      </c>
      <c r="J73" s="21" t="s">
        <v>29</v>
      </c>
      <c r="K73" s="19"/>
      <c r="L73" s="19"/>
      <c r="M73" s="19"/>
    </row>
    <row r="74" customFormat="false" ht="15" hidden="false" customHeight="false" outlineLevel="0" collapsed="false">
      <c r="A74" s="23" t="s">
        <v>427</v>
      </c>
      <c r="B74" s="12" t="s">
        <v>46</v>
      </c>
      <c r="C74" s="12" t="s">
        <v>428</v>
      </c>
      <c r="D74" s="24" t="s">
        <v>70</v>
      </c>
      <c r="E74" s="12" t="s">
        <v>71</v>
      </c>
      <c r="F74" s="12" t="s">
        <v>429</v>
      </c>
      <c r="G74" s="12" t="s">
        <v>430</v>
      </c>
      <c r="H74" s="12" t="s">
        <v>431</v>
      </c>
      <c r="I74" s="12" t="s">
        <v>432</v>
      </c>
      <c r="J74" s="25" t="s">
        <v>29</v>
      </c>
      <c r="K74" s="12"/>
      <c r="L74" s="12"/>
      <c r="M74" s="12"/>
    </row>
    <row r="75" customFormat="false" ht="15" hidden="false" customHeight="false" outlineLevel="0" collapsed="false">
      <c r="A75" s="23" t="s">
        <v>433</v>
      </c>
      <c r="B75" s="12" t="s">
        <v>46</v>
      </c>
      <c r="C75" s="12" t="s">
        <v>428</v>
      </c>
      <c r="D75" s="24" t="s">
        <v>70</v>
      </c>
      <c r="E75" s="12" t="s">
        <v>71</v>
      </c>
      <c r="F75" s="12" t="s">
        <v>434</v>
      </c>
      <c r="G75" s="12" t="s">
        <v>435</v>
      </c>
      <c r="H75" s="12" t="s">
        <v>436</v>
      </c>
      <c r="I75" s="12" t="s">
        <v>437</v>
      </c>
      <c r="J75" s="25" t="s">
        <v>29</v>
      </c>
      <c r="K75" s="12"/>
      <c r="L75" s="12"/>
      <c r="M75" s="12"/>
    </row>
    <row r="76" customFormat="false" ht="15" hidden="false" customHeight="false" outlineLevel="0" collapsed="false">
      <c r="A76" s="23" t="s">
        <v>438</v>
      </c>
      <c r="B76" s="12" t="s">
        <v>46</v>
      </c>
      <c r="C76" s="12" t="s">
        <v>428</v>
      </c>
      <c r="D76" s="26" t="s">
        <v>93</v>
      </c>
      <c r="E76" s="12" t="s">
        <v>71</v>
      </c>
      <c r="F76" s="12" t="s">
        <v>439</v>
      </c>
      <c r="G76" s="12" t="s">
        <v>440</v>
      </c>
      <c r="H76" s="12" t="s">
        <v>441</v>
      </c>
      <c r="I76" s="12" t="s">
        <v>442</v>
      </c>
      <c r="J76" s="25" t="s">
        <v>29</v>
      </c>
      <c r="K76" s="12"/>
      <c r="L76" s="12"/>
      <c r="M76" s="12"/>
    </row>
    <row r="77" customFormat="false" ht="22.35" hidden="false" customHeight="false" outlineLevel="0" collapsed="false">
      <c r="A77" s="23" t="s">
        <v>443</v>
      </c>
      <c r="B77" s="12" t="s">
        <v>46</v>
      </c>
      <c r="C77" s="12" t="s">
        <v>428</v>
      </c>
      <c r="D77" s="26" t="s">
        <v>93</v>
      </c>
      <c r="E77" s="12" t="s">
        <v>71</v>
      </c>
      <c r="F77" s="12" t="s">
        <v>444</v>
      </c>
      <c r="G77" s="12" t="s">
        <v>445</v>
      </c>
      <c r="H77" s="12" t="s">
        <v>446</v>
      </c>
      <c r="I77" s="12" t="s">
        <v>447</v>
      </c>
      <c r="J77" s="25" t="s">
        <v>29</v>
      </c>
      <c r="K77" s="12"/>
      <c r="L77" s="12"/>
      <c r="M77" s="12"/>
    </row>
    <row r="78" customFormat="false" ht="15" hidden="false" customHeight="false" outlineLevel="0" collapsed="false">
      <c r="A78" s="23" t="s">
        <v>448</v>
      </c>
      <c r="B78" s="12" t="s">
        <v>46</v>
      </c>
      <c r="C78" s="12" t="s">
        <v>428</v>
      </c>
      <c r="D78" s="26" t="s">
        <v>93</v>
      </c>
      <c r="E78" s="12" t="s">
        <v>71</v>
      </c>
      <c r="F78" s="12" t="s">
        <v>449</v>
      </c>
      <c r="G78" s="12" t="s">
        <v>115</v>
      </c>
      <c r="H78" s="12" t="s">
        <v>450</v>
      </c>
      <c r="I78" s="12" t="s">
        <v>451</v>
      </c>
      <c r="J78" s="25" t="s">
        <v>29</v>
      </c>
      <c r="K78" s="12"/>
      <c r="L78" s="12"/>
      <c r="M78" s="12"/>
    </row>
    <row r="79" customFormat="false" ht="15" hidden="false" customHeight="false" outlineLevel="0" collapsed="false">
      <c r="A79" s="23" t="s">
        <v>452</v>
      </c>
      <c r="B79" s="12" t="s">
        <v>46</v>
      </c>
      <c r="C79" s="12" t="s">
        <v>428</v>
      </c>
      <c r="D79" s="26" t="s">
        <v>93</v>
      </c>
      <c r="E79" s="12" t="s">
        <v>71</v>
      </c>
      <c r="F79" s="12" t="s">
        <v>453</v>
      </c>
      <c r="G79" s="12" t="s">
        <v>454</v>
      </c>
      <c r="H79" s="12" t="s">
        <v>455</v>
      </c>
      <c r="I79" s="12" t="s">
        <v>456</v>
      </c>
      <c r="J79" s="25" t="s">
        <v>29</v>
      </c>
      <c r="K79" s="12"/>
      <c r="L79" s="12"/>
      <c r="M79" s="12"/>
    </row>
    <row r="80" customFormat="false" ht="15" hidden="false" customHeight="false" outlineLevel="0" collapsed="false">
      <c r="A80" s="18" t="s">
        <v>457</v>
      </c>
      <c r="B80" s="19" t="s">
        <v>47</v>
      </c>
      <c r="C80" s="19" t="s">
        <v>458</v>
      </c>
      <c r="D80" s="20" t="s">
        <v>70</v>
      </c>
      <c r="E80" s="19" t="s">
        <v>71</v>
      </c>
      <c r="F80" s="19" t="s">
        <v>459</v>
      </c>
      <c r="G80" s="19" t="s">
        <v>460</v>
      </c>
      <c r="H80" s="19" t="s">
        <v>461</v>
      </c>
      <c r="I80" s="19" t="s">
        <v>462</v>
      </c>
      <c r="J80" s="21" t="s">
        <v>29</v>
      </c>
      <c r="K80" s="19"/>
      <c r="L80" s="19"/>
      <c r="M80" s="19"/>
    </row>
    <row r="81" customFormat="false" ht="22.35" hidden="false" customHeight="false" outlineLevel="0" collapsed="false">
      <c r="A81" s="18" t="s">
        <v>463</v>
      </c>
      <c r="B81" s="19" t="s">
        <v>47</v>
      </c>
      <c r="C81" s="19" t="s">
        <v>458</v>
      </c>
      <c r="D81" s="20" t="s">
        <v>70</v>
      </c>
      <c r="E81" s="19" t="s">
        <v>71</v>
      </c>
      <c r="F81" s="19" t="s">
        <v>464</v>
      </c>
      <c r="G81" s="19" t="s">
        <v>465</v>
      </c>
      <c r="H81" s="19" t="s">
        <v>466</v>
      </c>
      <c r="I81" s="19" t="s">
        <v>467</v>
      </c>
      <c r="J81" s="21" t="s">
        <v>29</v>
      </c>
      <c r="K81" s="19"/>
      <c r="L81" s="19"/>
      <c r="M81" s="19"/>
    </row>
    <row r="82" customFormat="false" ht="22.35" hidden="false" customHeight="false" outlineLevel="0" collapsed="false">
      <c r="A82" s="18" t="s">
        <v>468</v>
      </c>
      <c r="B82" s="19" t="s">
        <v>47</v>
      </c>
      <c r="C82" s="19" t="s">
        <v>458</v>
      </c>
      <c r="D82" s="22" t="s">
        <v>93</v>
      </c>
      <c r="E82" s="19" t="s">
        <v>71</v>
      </c>
      <c r="F82" s="19" t="s">
        <v>469</v>
      </c>
      <c r="G82" s="19" t="s">
        <v>115</v>
      </c>
      <c r="H82" s="19" t="s">
        <v>470</v>
      </c>
      <c r="I82" s="19" t="s">
        <v>471</v>
      </c>
      <c r="J82" s="21" t="s">
        <v>29</v>
      </c>
      <c r="K82" s="19"/>
      <c r="L82" s="19"/>
      <c r="M82" s="19"/>
    </row>
    <row r="83" customFormat="false" ht="22.35" hidden="false" customHeight="false" outlineLevel="0" collapsed="false">
      <c r="A83" s="18" t="s">
        <v>472</v>
      </c>
      <c r="B83" s="19" t="s">
        <v>47</v>
      </c>
      <c r="C83" s="19" t="s">
        <v>458</v>
      </c>
      <c r="D83" s="22" t="s">
        <v>93</v>
      </c>
      <c r="E83" s="19" t="s">
        <v>71</v>
      </c>
      <c r="F83" s="19" t="s">
        <v>473</v>
      </c>
      <c r="G83" s="19" t="s">
        <v>474</v>
      </c>
      <c r="H83" s="19" t="s">
        <v>475</v>
      </c>
      <c r="I83" s="19" t="s">
        <v>476</v>
      </c>
      <c r="J83" s="21" t="s">
        <v>29</v>
      </c>
      <c r="K83" s="19"/>
      <c r="L83" s="19"/>
      <c r="M83" s="19"/>
    </row>
    <row r="84" customFormat="false" ht="15" hidden="false" customHeight="false" outlineLevel="0" collapsed="false">
      <c r="A84" s="18" t="s">
        <v>477</v>
      </c>
      <c r="B84" s="19" t="s">
        <v>47</v>
      </c>
      <c r="C84" s="19" t="s">
        <v>458</v>
      </c>
      <c r="D84" s="22" t="s">
        <v>93</v>
      </c>
      <c r="E84" s="19" t="s">
        <v>71</v>
      </c>
      <c r="F84" s="19" t="s">
        <v>478</v>
      </c>
      <c r="G84" s="19" t="s">
        <v>479</v>
      </c>
      <c r="H84" s="19" t="s">
        <v>480</v>
      </c>
      <c r="I84" s="19" t="s">
        <v>481</v>
      </c>
      <c r="J84" s="21" t="s">
        <v>29</v>
      </c>
      <c r="K84" s="19"/>
      <c r="L84" s="19"/>
      <c r="M84" s="19"/>
    </row>
    <row r="85" customFormat="false" ht="22.35" hidden="false" customHeight="false" outlineLevel="0" collapsed="false">
      <c r="A85" s="23" t="s">
        <v>482</v>
      </c>
      <c r="B85" s="12" t="s">
        <v>48</v>
      </c>
      <c r="C85" s="12" t="s">
        <v>483</v>
      </c>
      <c r="D85" s="24" t="s">
        <v>70</v>
      </c>
      <c r="E85" s="12" t="s">
        <v>71</v>
      </c>
      <c r="F85" s="12" t="s">
        <v>484</v>
      </c>
      <c r="G85" s="12" t="s">
        <v>485</v>
      </c>
      <c r="H85" s="12" t="s">
        <v>486</v>
      </c>
      <c r="I85" s="12" t="s">
        <v>487</v>
      </c>
      <c r="J85" s="25" t="s">
        <v>29</v>
      </c>
      <c r="K85" s="12"/>
      <c r="L85" s="12"/>
      <c r="M85" s="12"/>
    </row>
    <row r="86" customFormat="false" ht="22.35" hidden="false" customHeight="false" outlineLevel="0" collapsed="false">
      <c r="A86" s="23" t="s">
        <v>488</v>
      </c>
      <c r="B86" s="12" t="s">
        <v>48</v>
      </c>
      <c r="C86" s="12" t="s">
        <v>483</v>
      </c>
      <c r="D86" s="24" t="s">
        <v>70</v>
      </c>
      <c r="E86" s="12" t="s">
        <v>82</v>
      </c>
      <c r="F86" s="12" t="s">
        <v>489</v>
      </c>
      <c r="G86" s="12" t="s">
        <v>490</v>
      </c>
      <c r="H86" s="12" t="s">
        <v>491</v>
      </c>
      <c r="I86" s="12" t="s">
        <v>492</v>
      </c>
      <c r="J86" s="25" t="s">
        <v>29</v>
      </c>
      <c r="K86" s="12"/>
      <c r="L86" s="12"/>
      <c r="M86" s="12"/>
    </row>
    <row r="87" customFormat="false" ht="22.35" hidden="false" customHeight="false" outlineLevel="0" collapsed="false">
      <c r="A87" s="23" t="s">
        <v>493</v>
      </c>
      <c r="B87" s="12" t="s">
        <v>48</v>
      </c>
      <c r="C87" s="12" t="s">
        <v>483</v>
      </c>
      <c r="D87" s="24" t="s">
        <v>70</v>
      </c>
      <c r="E87" s="12" t="s">
        <v>71</v>
      </c>
      <c r="F87" s="12" t="s">
        <v>494</v>
      </c>
      <c r="G87" s="12" t="s">
        <v>495</v>
      </c>
      <c r="H87" s="12" t="s">
        <v>496</v>
      </c>
      <c r="I87" s="12" t="s">
        <v>497</v>
      </c>
      <c r="J87" s="25" t="s">
        <v>29</v>
      </c>
      <c r="K87" s="12"/>
      <c r="L87" s="12"/>
      <c r="M87" s="12"/>
    </row>
    <row r="88" customFormat="false" ht="22.35" hidden="false" customHeight="false" outlineLevel="0" collapsed="false">
      <c r="A88" s="23" t="s">
        <v>498</v>
      </c>
      <c r="B88" s="12" t="s">
        <v>48</v>
      </c>
      <c r="C88" s="12" t="s">
        <v>483</v>
      </c>
      <c r="D88" s="26" t="s">
        <v>93</v>
      </c>
      <c r="E88" s="12" t="s">
        <v>71</v>
      </c>
      <c r="F88" s="12" t="s">
        <v>499</v>
      </c>
      <c r="G88" s="12" t="s">
        <v>500</v>
      </c>
      <c r="H88" s="12" t="s">
        <v>501</v>
      </c>
      <c r="I88" s="12" t="s">
        <v>502</v>
      </c>
      <c r="J88" s="25" t="s">
        <v>29</v>
      </c>
      <c r="K88" s="12"/>
      <c r="L88" s="12"/>
      <c r="M88" s="12"/>
    </row>
    <row r="89" customFormat="false" ht="22.35" hidden="false" customHeight="false" outlineLevel="0" collapsed="false">
      <c r="A89" s="23" t="s">
        <v>503</v>
      </c>
      <c r="B89" s="12" t="s">
        <v>48</v>
      </c>
      <c r="C89" s="12" t="s">
        <v>483</v>
      </c>
      <c r="D89" s="26" t="s">
        <v>93</v>
      </c>
      <c r="E89" s="12" t="s">
        <v>71</v>
      </c>
      <c r="F89" s="12" t="s">
        <v>504</v>
      </c>
      <c r="G89" s="12" t="s">
        <v>230</v>
      </c>
      <c r="H89" s="12" t="s">
        <v>505</v>
      </c>
      <c r="I89" s="12" t="s">
        <v>506</v>
      </c>
      <c r="J89" s="25" t="s">
        <v>29</v>
      </c>
      <c r="K89" s="12"/>
      <c r="L89" s="12"/>
      <c r="M89" s="12"/>
    </row>
    <row r="90" customFormat="false" ht="22.35" hidden="false" customHeight="false" outlineLevel="0" collapsed="false">
      <c r="A90" s="23" t="s">
        <v>507</v>
      </c>
      <c r="B90" s="12" t="s">
        <v>48</v>
      </c>
      <c r="C90" s="12" t="s">
        <v>483</v>
      </c>
      <c r="D90" s="26" t="s">
        <v>93</v>
      </c>
      <c r="E90" s="12" t="s">
        <v>71</v>
      </c>
      <c r="F90" s="12" t="s">
        <v>508</v>
      </c>
      <c r="G90" s="12" t="s">
        <v>509</v>
      </c>
      <c r="H90" s="12" t="s">
        <v>510</v>
      </c>
      <c r="I90" s="12" t="s">
        <v>511</v>
      </c>
      <c r="J90" s="25" t="s">
        <v>29</v>
      </c>
      <c r="K90" s="12"/>
      <c r="L90" s="12"/>
      <c r="M90" s="12"/>
    </row>
    <row r="91" customFormat="false" ht="15" hidden="false" customHeight="false" outlineLevel="0" collapsed="false">
      <c r="A91" s="23" t="s">
        <v>512</v>
      </c>
      <c r="B91" s="12" t="s">
        <v>48</v>
      </c>
      <c r="C91" s="12" t="s">
        <v>483</v>
      </c>
      <c r="D91" s="26" t="s">
        <v>93</v>
      </c>
      <c r="E91" s="12" t="s">
        <v>71</v>
      </c>
      <c r="F91" s="12" t="s">
        <v>513</v>
      </c>
      <c r="G91" s="12" t="s">
        <v>115</v>
      </c>
      <c r="H91" s="12" t="s">
        <v>514</v>
      </c>
      <c r="I91" s="12" t="s">
        <v>515</v>
      </c>
      <c r="J91" s="25" t="s">
        <v>29</v>
      </c>
      <c r="K91" s="12"/>
      <c r="L91" s="12"/>
      <c r="M91" s="12"/>
    </row>
    <row r="92" customFormat="false" ht="22.35" hidden="false" customHeight="false" outlineLevel="0" collapsed="false">
      <c r="A92" s="18" t="s">
        <v>516</v>
      </c>
      <c r="B92" s="19" t="s">
        <v>49</v>
      </c>
      <c r="C92" s="19" t="s">
        <v>517</v>
      </c>
      <c r="D92" s="20" t="s">
        <v>70</v>
      </c>
      <c r="E92" s="19" t="s">
        <v>82</v>
      </c>
      <c r="F92" s="19" t="s">
        <v>518</v>
      </c>
      <c r="G92" s="19" t="s">
        <v>519</v>
      </c>
      <c r="H92" s="19" t="s">
        <v>520</v>
      </c>
      <c r="I92" s="19" t="s">
        <v>521</v>
      </c>
      <c r="J92" s="21" t="s">
        <v>29</v>
      </c>
      <c r="K92" s="19"/>
      <c r="L92" s="19"/>
      <c r="M92" s="19"/>
    </row>
    <row r="93" customFormat="false" ht="15" hidden="false" customHeight="false" outlineLevel="0" collapsed="false">
      <c r="A93" s="18" t="s">
        <v>522</v>
      </c>
      <c r="B93" s="19" t="s">
        <v>49</v>
      </c>
      <c r="C93" s="19" t="s">
        <v>517</v>
      </c>
      <c r="D93" s="20" t="s">
        <v>70</v>
      </c>
      <c r="E93" s="19" t="s">
        <v>71</v>
      </c>
      <c r="F93" s="19" t="s">
        <v>523</v>
      </c>
      <c r="G93" s="19" t="s">
        <v>375</v>
      </c>
      <c r="H93" s="19" t="s">
        <v>524</v>
      </c>
      <c r="I93" s="19" t="s">
        <v>525</v>
      </c>
      <c r="J93" s="21" t="s">
        <v>29</v>
      </c>
      <c r="K93" s="19"/>
      <c r="L93" s="19"/>
      <c r="M93" s="19"/>
    </row>
    <row r="94" customFormat="false" ht="22.35" hidden="false" customHeight="false" outlineLevel="0" collapsed="false">
      <c r="A94" s="18" t="s">
        <v>526</v>
      </c>
      <c r="B94" s="19" t="s">
        <v>49</v>
      </c>
      <c r="C94" s="19" t="s">
        <v>517</v>
      </c>
      <c r="D94" s="22" t="s">
        <v>93</v>
      </c>
      <c r="E94" s="19" t="s">
        <v>71</v>
      </c>
      <c r="F94" s="19" t="s">
        <v>527</v>
      </c>
      <c r="G94" s="19" t="s">
        <v>375</v>
      </c>
      <c r="H94" s="19" t="s">
        <v>528</v>
      </c>
      <c r="I94" s="19" t="s">
        <v>529</v>
      </c>
      <c r="J94" s="21" t="s">
        <v>29</v>
      </c>
      <c r="K94" s="19"/>
      <c r="L94" s="19"/>
      <c r="M94" s="19"/>
    </row>
    <row r="95" customFormat="false" ht="15" hidden="false" customHeight="false" outlineLevel="0" collapsed="false">
      <c r="A95" s="18" t="s">
        <v>530</v>
      </c>
      <c r="B95" s="19" t="s">
        <v>49</v>
      </c>
      <c r="C95" s="19" t="s">
        <v>517</v>
      </c>
      <c r="D95" s="22" t="s">
        <v>93</v>
      </c>
      <c r="E95" s="19" t="s">
        <v>71</v>
      </c>
      <c r="F95" s="19" t="s">
        <v>531</v>
      </c>
      <c r="G95" s="19" t="s">
        <v>532</v>
      </c>
      <c r="H95" s="19" t="s">
        <v>533</v>
      </c>
      <c r="I95" s="19" t="s">
        <v>534</v>
      </c>
      <c r="J95" s="21" t="s">
        <v>29</v>
      </c>
      <c r="K95" s="19"/>
      <c r="L95" s="19"/>
      <c r="M95" s="19"/>
    </row>
    <row r="96" customFormat="false" ht="22.35" hidden="false" customHeight="false" outlineLevel="0" collapsed="false">
      <c r="A96" s="18" t="s">
        <v>535</v>
      </c>
      <c r="B96" s="19" t="s">
        <v>49</v>
      </c>
      <c r="C96" s="19" t="s">
        <v>517</v>
      </c>
      <c r="D96" s="22" t="s">
        <v>93</v>
      </c>
      <c r="E96" s="19" t="s">
        <v>82</v>
      </c>
      <c r="F96" s="19" t="s">
        <v>536</v>
      </c>
      <c r="G96" s="19" t="s">
        <v>375</v>
      </c>
      <c r="H96" s="19" t="s">
        <v>537</v>
      </c>
      <c r="I96" s="19" t="s">
        <v>538</v>
      </c>
      <c r="J96" s="21" t="s">
        <v>29</v>
      </c>
      <c r="K96" s="19"/>
      <c r="L96" s="19"/>
      <c r="M96" s="19"/>
    </row>
    <row r="97" customFormat="false" ht="22.35" hidden="false" customHeight="false" outlineLevel="0" collapsed="false">
      <c r="A97" s="23" t="s">
        <v>539</v>
      </c>
      <c r="B97" s="12" t="s">
        <v>50</v>
      </c>
      <c r="C97" s="12" t="s">
        <v>540</v>
      </c>
      <c r="D97" s="24" t="s">
        <v>70</v>
      </c>
      <c r="E97" s="12" t="s">
        <v>82</v>
      </c>
      <c r="F97" s="12" t="s">
        <v>541</v>
      </c>
      <c r="G97" s="12" t="s">
        <v>542</v>
      </c>
      <c r="H97" s="12" t="s">
        <v>543</v>
      </c>
      <c r="I97" s="12" t="s">
        <v>544</v>
      </c>
      <c r="J97" s="25" t="s">
        <v>29</v>
      </c>
      <c r="K97" s="12"/>
      <c r="L97" s="12"/>
      <c r="M97" s="12"/>
    </row>
    <row r="98" customFormat="false" ht="22.35" hidden="false" customHeight="false" outlineLevel="0" collapsed="false">
      <c r="A98" s="23" t="s">
        <v>545</v>
      </c>
      <c r="B98" s="12" t="s">
        <v>50</v>
      </c>
      <c r="C98" s="12" t="s">
        <v>540</v>
      </c>
      <c r="D98" s="26" t="s">
        <v>93</v>
      </c>
      <c r="E98" s="12" t="s">
        <v>71</v>
      </c>
      <c r="F98" s="12" t="s">
        <v>546</v>
      </c>
      <c r="G98" s="12" t="s">
        <v>547</v>
      </c>
      <c r="H98" s="12" t="s">
        <v>548</v>
      </c>
      <c r="I98" s="12" t="s">
        <v>549</v>
      </c>
      <c r="J98" s="25" t="s">
        <v>29</v>
      </c>
      <c r="K98" s="12"/>
      <c r="L98" s="12"/>
      <c r="M98" s="12"/>
    </row>
    <row r="99" customFormat="false" ht="22.35" hidden="false" customHeight="false" outlineLevel="0" collapsed="false">
      <c r="A99" s="23" t="s">
        <v>550</v>
      </c>
      <c r="B99" s="12" t="s">
        <v>50</v>
      </c>
      <c r="C99" s="12" t="s">
        <v>540</v>
      </c>
      <c r="D99" s="26" t="s">
        <v>93</v>
      </c>
      <c r="E99" s="12" t="s">
        <v>71</v>
      </c>
      <c r="F99" s="12" t="s">
        <v>551</v>
      </c>
      <c r="G99" s="12" t="s">
        <v>552</v>
      </c>
      <c r="H99" s="12" t="s">
        <v>553</v>
      </c>
      <c r="I99" s="12" t="s">
        <v>554</v>
      </c>
      <c r="J99" s="25" t="s">
        <v>29</v>
      </c>
      <c r="K99" s="12"/>
      <c r="L99" s="12"/>
      <c r="M99" s="12"/>
    </row>
    <row r="100" customFormat="false" ht="22.35" hidden="false" customHeight="false" outlineLevel="0" collapsed="false">
      <c r="A100" s="23" t="s">
        <v>555</v>
      </c>
      <c r="B100" s="12" t="s">
        <v>50</v>
      </c>
      <c r="C100" s="12" t="s">
        <v>540</v>
      </c>
      <c r="D100" s="26" t="s">
        <v>93</v>
      </c>
      <c r="E100" s="12" t="s">
        <v>82</v>
      </c>
      <c r="F100" s="12" t="s">
        <v>556</v>
      </c>
      <c r="G100" s="12" t="s">
        <v>115</v>
      </c>
      <c r="H100" s="12" t="s">
        <v>557</v>
      </c>
      <c r="I100" s="12" t="s">
        <v>558</v>
      </c>
      <c r="J100" s="25" t="s">
        <v>29</v>
      </c>
      <c r="K100" s="12"/>
      <c r="L100" s="12"/>
      <c r="M100" s="12"/>
    </row>
    <row r="101" customFormat="false" ht="22.35" hidden="false" customHeight="false" outlineLevel="0" collapsed="false">
      <c r="A101" s="18" t="s">
        <v>559</v>
      </c>
      <c r="B101" s="19" t="s">
        <v>51</v>
      </c>
      <c r="C101" s="19" t="s">
        <v>560</v>
      </c>
      <c r="D101" s="20" t="s">
        <v>70</v>
      </c>
      <c r="E101" s="19" t="s">
        <v>71</v>
      </c>
      <c r="F101" s="19" t="s">
        <v>561</v>
      </c>
      <c r="G101" s="19" t="s">
        <v>562</v>
      </c>
      <c r="H101" s="19" t="s">
        <v>563</v>
      </c>
      <c r="I101" s="19" t="s">
        <v>564</v>
      </c>
      <c r="J101" s="21" t="s">
        <v>29</v>
      </c>
      <c r="K101" s="19"/>
      <c r="L101" s="19"/>
      <c r="M101" s="19"/>
    </row>
    <row r="102" customFormat="false" ht="22.35" hidden="false" customHeight="false" outlineLevel="0" collapsed="false">
      <c r="A102" s="18" t="s">
        <v>565</v>
      </c>
      <c r="B102" s="19" t="s">
        <v>51</v>
      </c>
      <c r="C102" s="19" t="s">
        <v>560</v>
      </c>
      <c r="D102" s="22" t="s">
        <v>93</v>
      </c>
      <c r="E102" s="19" t="s">
        <v>71</v>
      </c>
      <c r="F102" s="19" t="s">
        <v>566</v>
      </c>
      <c r="G102" s="19" t="s">
        <v>567</v>
      </c>
      <c r="H102" s="19" t="s">
        <v>568</v>
      </c>
      <c r="I102" s="19" t="s">
        <v>569</v>
      </c>
      <c r="J102" s="21" t="s">
        <v>29</v>
      </c>
      <c r="K102" s="19"/>
      <c r="L102" s="19"/>
      <c r="M102" s="19"/>
    </row>
    <row r="103" customFormat="false" ht="15" hidden="false" customHeight="false" outlineLevel="0" collapsed="false">
      <c r="A103" s="18" t="s">
        <v>570</v>
      </c>
      <c r="B103" s="19" t="s">
        <v>51</v>
      </c>
      <c r="C103" s="19" t="s">
        <v>560</v>
      </c>
      <c r="D103" s="22" t="s">
        <v>93</v>
      </c>
      <c r="E103" s="19" t="s">
        <v>71</v>
      </c>
      <c r="F103" s="19" t="s">
        <v>571</v>
      </c>
      <c r="G103" s="19" t="s">
        <v>572</v>
      </c>
      <c r="H103" s="19" t="s">
        <v>573</v>
      </c>
      <c r="I103" s="19" t="s">
        <v>574</v>
      </c>
      <c r="J103" s="21" t="s">
        <v>29</v>
      </c>
      <c r="K103" s="19"/>
      <c r="L103" s="19"/>
      <c r="M103" s="19"/>
    </row>
    <row r="104" customFormat="false" ht="22.35" hidden="false" customHeight="false" outlineLevel="0" collapsed="false">
      <c r="A104" s="18" t="s">
        <v>575</v>
      </c>
      <c r="B104" s="19" t="s">
        <v>51</v>
      </c>
      <c r="C104" s="19" t="s">
        <v>560</v>
      </c>
      <c r="D104" s="22" t="s">
        <v>93</v>
      </c>
      <c r="E104" s="19" t="s">
        <v>71</v>
      </c>
      <c r="F104" s="19" t="s">
        <v>576</v>
      </c>
      <c r="G104" s="19" t="s">
        <v>577</v>
      </c>
      <c r="H104" s="19" t="s">
        <v>578</v>
      </c>
      <c r="I104" s="19" t="s">
        <v>579</v>
      </c>
      <c r="J104" s="21" t="s">
        <v>29</v>
      </c>
      <c r="K104" s="19"/>
      <c r="L104" s="19"/>
      <c r="M104" s="19"/>
    </row>
    <row r="105" customFormat="false" ht="15" hidden="false" customHeight="false" outlineLevel="0" collapsed="false">
      <c r="A105" s="23" t="s">
        <v>580</v>
      </c>
      <c r="B105" s="12" t="s">
        <v>52</v>
      </c>
      <c r="C105" s="12" t="s">
        <v>581</v>
      </c>
      <c r="D105" s="26" t="s">
        <v>93</v>
      </c>
      <c r="E105" s="12" t="s">
        <v>71</v>
      </c>
      <c r="F105" s="12" t="s">
        <v>582</v>
      </c>
      <c r="G105" s="12" t="s">
        <v>583</v>
      </c>
      <c r="H105" s="12" t="s">
        <v>584</v>
      </c>
      <c r="I105" s="12" t="s">
        <v>585</v>
      </c>
      <c r="J105" s="25" t="s">
        <v>29</v>
      </c>
      <c r="K105" s="12"/>
      <c r="L105" s="12"/>
      <c r="M105" s="12"/>
    </row>
    <row r="106" customFormat="false" ht="15" hidden="false" customHeight="false" outlineLevel="0" collapsed="false">
      <c r="A106" s="23" t="s">
        <v>586</v>
      </c>
      <c r="B106" s="12" t="s">
        <v>52</v>
      </c>
      <c r="C106" s="12" t="s">
        <v>581</v>
      </c>
      <c r="D106" s="26" t="s">
        <v>93</v>
      </c>
      <c r="E106" s="12" t="s">
        <v>82</v>
      </c>
      <c r="F106" s="12" t="s">
        <v>587</v>
      </c>
      <c r="G106" s="12" t="s">
        <v>483</v>
      </c>
      <c r="H106" s="12" t="s">
        <v>588</v>
      </c>
      <c r="I106" s="12" t="s">
        <v>589</v>
      </c>
      <c r="J106" s="25" t="s">
        <v>29</v>
      </c>
      <c r="K106" s="12"/>
      <c r="L106" s="12"/>
      <c r="M106" s="12"/>
    </row>
    <row r="107" customFormat="false" ht="15" hidden="false" customHeight="false" outlineLevel="0" collapsed="false">
      <c r="A107" s="18" t="s">
        <v>590</v>
      </c>
      <c r="B107" s="19" t="s">
        <v>53</v>
      </c>
      <c r="C107" s="19" t="s">
        <v>591</v>
      </c>
      <c r="D107" s="20" t="s">
        <v>70</v>
      </c>
      <c r="E107" s="19" t="s">
        <v>82</v>
      </c>
      <c r="F107" s="19" t="s">
        <v>592</v>
      </c>
      <c r="G107" s="19" t="s">
        <v>593</v>
      </c>
      <c r="H107" s="19" t="s">
        <v>594</v>
      </c>
      <c r="I107" s="19" t="s">
        <v>595</v>
      </c>
      <c r="J107" s="21" t="s">
        <v>29</v>
      </c>
      <c r="K107" s="19"/>
      <c r="L107" s="19"/>
      <c r="M107" s="19"/>
    </row>
    <row r="108" customFormat="false" ht="22.35" hidden="false" customHeight="false" outlineLevel="0" collapsed="false">
      <c r="A108" s="18" t="s">
        <v>596</v>
      </c>
      <c r="B108" s="19" t="s">
        <v>53</v>
      </c>
      <c r="C108" s="19" t="s">
        <v>591</v>
      </c>
      <c r="D108" s="20" t="s">
        <v>70</v>
      </c>
      <c r="E108" s="19" t="s">
        <v>82</v>
      </c>
      <c r="F108" s="19" t="s">
        <v>597</v>
      </c>
      <c r="G108" s="19" t="s">
        <v>598</v>
      </c>
      <c r="H108" s="19" t="s">
        <v>599</v>
      </c>
      <c r="I108" s="19" t="s">
        <v>600</v>
      </c>
      <c r="J108" s="21" t="s">
        <v>29</v>
      </c>
      <c r="K108" s="19"/>
      <c r="L108" s="19"/>
      <c r="M108" s="19"/>
    </row>
    <row r="109" customFormat="false" ht="15" hidden="false" customHeight="false" outlineLevel="0" collapsed="false">
      <c r="A109" s="18" t="s">
        <v>601</v>
      </c>
      <c r="B109" s="19" t="s">
        <v>53</v>
      </c>
      <c r="C109" s="19" t="s">
        <v>591</v>
      </c>
      <c r="D109" s="22" t="s">
        <v>93</v>
      </c>
      <c r="E109" s="19" t="s">
        <v>82</v>
      </c>
      <c r="F109" s="19" t="s">
        <v>602</v>
      </c>
      <c r="G109" s="19" t="s">
        <v>115</v>
      </c>
      <c r="H109" s="19" t="s">
        <v>603</v>
      </c>
      <c r="I109" s="19" t="s">
        <v>604</v>
      </c>
      <c r="J109" s="21" t="s">
        <v>29</v>
      </c>
      <c r="K109" s="19"/>
      <c r="L109" s="19"/>
      <c r="M109" s="19"/>
    </row>
    <row r="110" customFormat="false" ht="15" hidden="false" customHeight="false" outlineLevel="0" collapsed="false">
      <c r="A110" s="18" t="s">
        <v>605</v>
      </c>
      <c r="B110" s="19" t="s">
        <v>53</v>
      </c>
      <c r="C110" s="19" t="s">
        <v>591</v>
      </c>
      <c r="D110" s="22" t="s">
        <v>93</v>
      </c>
      <c r="E110" s="19" t="s">
        <v>82</v>
      </c>
      <c r="F110" s="19" t="s">
        <v>606</v>
      </c>
      <c r="G110" s="19" t="s">
        <v>607</v>
      </c>
      <c r="H110" s="19" t="s">
        <v>608</v>
      </c>
      <c r="I110" s="19" t="s">
        <v>609</v>
      </c>
      <c r="J110" s="21" t="s">
        <v>29</v>
      </c>
      <c r="K110" s="19"/>
      <c r="L110" s="19"/>
      <c r="M110" s="19"/>
    </row>
    <row r="111" customFormat="false" ht="22.35" hidden="false" customHeight="false" outlineLevel="0" collapsed="false">
      <c r="A111" s="18" t="s">
        <v>610</v>
      </c>
      <c r="B111" s="19" t="s">
        <v>53</v>
      </c>
      <c r="C111" s="19" t="s">
        <v>591</v>
      </c>
      <c r="D111" s="22" t="s">
        <v>93</v>
      </c>
      <c r="E111" s="19" t="s">
        <v>82</v>
      </c>
      <c r="F111" s="19" t="s">
        <v>611</v>
      </c>
      <c r="G111" s="19" t="s">
        <v>612</v>
      </c>
      <c r="H111" s="19" t="s">
        <v>613</v>
      </c>
      <c r="I111" s="19" t="s">
        <v>614</v>
      </c>
      <c r="J111" s="21" t="s">
        <v>29</v>
      </c>
      <c r="K111" s="19"/>
      <c r="L111" s="19"/>
      <c r="M111" s="19"/>
    </row>
    <row r="112" customFormat="false" ht="22.35" hidden="false" customHeight="false" outlineLevel="0" collapsed="false">
      <c r="A112" s="23" t="s">
        <v>615</v>
      </c>
      <c r="B112" s="12" t="s">
        <v>54</v>
      </c>
      <c r="C112" s="12" t="s">
        <v>616</v>
      </c>
      <c r="D112" s="24" t="s">
        <v>70</v>
      </c>
      <c r="E112" s="12" t="s">
        <v>71</v>
      </c>
      <c r="F112" s="12" t="s">
        <v>617</v>
      </c>
      <c r="G112" s="12" t="s">
        <v>618</v>
      </c>
      <c r="H112" s="12" t="s">
        <v>619</v>
      </c>
      <c r="I112" s="12" t="s">
        <v>620</v>
      </c>
      <c r="J112" s="25" t="s">
        <v>29</v>
      </c>
      <c r="K112" s="12"/>
      <c r="L112" s="12"/>
      <c r="M112" s="12"/>
    </row>
    <row r="113" customFormat="false" ht="22.35" hidden="false" customHeight="false" outlineLevel="0" collapsed="false">
      <c r="A113" s="23" t="s">
        <v>621</v>
      </c>
      <c r="B113" s="12" t="s">
        <v>54</v>
      </c>
      <c r="C113" s="12" t="s">
        <v>616</v>
      </c>
      <c r="D113" s="24" t="s">
        <v>70</v>
      </c>
      <c r="E113" s="12" t="s">
        <v>82</v>
      </c>
      <c r="F113" s="12" t="s">
        <v>622</v>
      </c>
      <c r="G113" s="12" t="s">
        <v>623</v>
      </c>
      <c r="H113" s="12" t="s">
        <v>624</v>
      </c>
      <c r="I113" s="12" t="s">
        <v>625</v>
      </c>
      <c r="J113" s="25" t="s">
        <v>29</v>
      </c>
      <c r="K113" s="12"/>
      <c r="L113" s="12"/>
      <c r="M113" s="12"/>
    </row>
    <row r="114" customFormat="false" ht="22.35" hidden="false" customHeight="false" outlineLevel="0" collapsed="false">
      <c r="A114" s="23" t="s">
        <v>626</v>
      </c>
      <c r="B114" s="12" t="s">
        <v>54</v>
      </c>
      <c r="C114" s="12" t="s">
        <v>616</v>
      </c>
      <c r="D114" s="26" t="s">
        <v>93</v>
      </c>
      <c r="E114" s="12" t="s">
        <v>71</v>
      </c>
      <c r="F114" s="12" t="s">
        <v>627</v>
      </c>
      <c r="G114" s="12" t="s">
        <v>628</v>
      </c>
      <c r="H114" s="12" t="s">
        <v>629</v>
      </c>
      <c r="I114" s="12" t="s">
        <v>630</v>
      </c>
      <c r="J114" s="25" t="s">
        <v>29</v>
      </c>
      <c r="K114" s="12"/>
      <c r="L114" s="12"/>
      <c r="M114" s="12"/>
    </row>
    <row r="115" customFormat="false" ht="22.35" hidden="false" customHeight="false" outlineLevel="0" collapsed="false">
      <c r="A115" s="23" t="s">
        <v>631</v>
      </c>
      <c r="B115" s="12" t="s">
        <v>54</v>
      </c>
      <c r="C115" s="12" t="s">
        <v>616</v>
      </c>
      <c r="D115" s="26" t="s">
        <v>93</v>
      </c>
      <c r="E115" s="12" t="s">
        <v>71</v>
      </c>
      <c r="F115" s="12" t="s">
        <v>632</v>
      </c>
      <c r="G115" s="12" t="s">
        <v>633</v>
      </c>
      <c r="H115" s="12" t="s">
        <v>634</v>
      </c>
      <c r="I115" s="12" t="s">
        <v>635</v>
      </c>
      <c r="J115" s="25" t="s">
        <v>29</v>
      </c>
      <c r="K115" s="12"/>
      <c r="L115" s="12"/>
      <c r="M115" s="12"/>
    </row>
    <row r="116" customFormat="false" ht="22.35" hidden="false" customHeight="false" outlineLevel="0" collapsed="false">
      <c r="A116" s="23" t="s">
        <v>636</v>
      </c>
      <c r="B116" s="12" t="s">
        <v>54</v>
      </c>
      <c r="C116" s="12" t="s">
        <v>616</v>
      </c>
      <c r="D116" s="26" t="s">
        <v>93</v>
      </c>
      <c r="E116" s="12" t="s">
        <v>71</v>
      </c>
      <c r="F116" s="12" t="s">
        <v>637</v>
      </c>
      <c r="G116" s="12" t="s">
        <v>115</v>
      </c>
      <c r="H116" s="12" t="s">
        <v>638</v>
      </c>
      <c r="I116" s="12" t="s">
        <v>639</v>
      </c>
      <c r="J116" s="25" t="s">
        <v>29</v>
      </c>
      <c r="K116" s="12"/>
      <c r="L116" s="12"/>
      <c r="M116" s="12"/>
    </row>
    <row r="117" customFormat="false" ht="22.35" hidden="false" customHeight="false" outlineLevel="0" collapsed="false">
      <c r="A117" s="18" t="s">
        <v>640</v>
      </c>
      <c r="B117" s="19" t="s">
        <v>55</v>
      </c>
      <c r="C117" s="19" t="s">
        <v>124</v>
      </c>
      <c r="D117" s="22" t="s">
        <v>93</v>
      </c>
      <c r="E117" s="19" t="s">
        <v>71</v>
      </c>
      <c r="F117" s="19" t="s">
        <v>641</v>
      </c>
      <c r="G117" s="19" t="s">
        <v>230</v>
      </c>
      <c r="H117" s="19" t="s">
        <v>642</v>
      </c>
      <c r="I117" s="19" t="s">
        <v>643</v>
      </c>
      <c r="J117" s="21" t="s">
        <v>29</v>
      </c>
      <c r="K117" s="19"/>
      <c r="L117" s="19"/>
      <c r="M117" s="19"/>
    </row>
    <row r="118" customFormat="false" ht="22.35" hidden="false" customHeight="false" outlineLevel="0" collapsed="false">
      <c r="A118" s="18" t="s">
        <v>644</v>
      </c>
      <c r="B118" s="19" t="s">
        <v>55</v>
      </c>
      <c r="C118" s="19" t="s">
        <v>124</v>
      </c>
      <c r="D118" s="22" t="s">
        <v>93</v>
      </c>
      <c r="E118" s="19" t="s">
        <v>71</v>
      </c>
      <c r="F118" s="19" t="s">
        <v>645</v>
      </c>
      <c r="G118" s="19" t="s">
        <v>115</v>
      </c>
      <c r="H118" s="19" t="s">
        <v>646</v>
      </c>
      <c r="I118" s="19" t="s">
        <v>647</v>
      </c>
      <c r="J118" s="21" t="s">
        <v>29</v>
      </c>
      <c r="K118" s="19"/>
      <c r="L118" s="19"/>
      <c r="M118" s="19"/>
    </row>
    <row r="119" customFormat="false" ht="22.35" hidden="false" customHeight="false" outlineLevel="0" collapsed="false">
      <c r="A119" s="18" t="s">
        <v>648</v>
      </c>
      <c r="B119" s="19" t="s">
        <v>55</v>
      </c>
      <c r="C119" s="19" t="s">
        <v>124</v>
      </c>
      <c r="D119" s="22" t="s">
        <v>93</v>
      </c>
      <c r="E119" s="19" t="s">
        <v>71</v>
      </c>
      <c r="F119" s="19" t="s">
        <v>649</v>
      </c>
      <c r="G119" s="19" t="s">
        <v>650</v>
      </c>
      <c r="H119" s="19" t="s">
        <v>651</v>
      </c>
      <c r="I119" s="19" t="s">
        <v>652</v>
      </c>
      <c r="J119" s="21" t="s">
        <v>29</v>
      </c>
      <c r="K119" s="19"/>
      <c r="L119" s="19"/>
      <c r="M119" s="19"/>
    </row>
  </sheetData>
  <dataValidations count="2">
    <dataValidation allowBlank="true" errorStyle="stop" operator="between" showDropDown="false" showErrorMessage="false" showInputMessage="false" sqref="J2:J119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1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2026-08-14T06:25:14Z</dcterms:created>
  <dc:creator>openpyxl</dc:creator>
  <dc:description/>
  <dc:language>en-US</dc:language>
  <cp:lastModifiedBy/>
  <dcterms:modified xsi:type="dcterms:W3CDTF">2026-08-14T06:25:14Z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