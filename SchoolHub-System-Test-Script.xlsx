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Test Case Index" sheetId="3" state="visible" r:id="rId3"/>
    <sheet xmlns:r="http://schemas.openxmlformats.org/officeDocument/2006/relationships" name="Detailed Steps" sheetId="4" state="visible" r:id="rId4"/>
    <sheet xmlns:r="http://schemas.openxmlformats.org/officeDocument/2006/relationships" name="Traceability" sheetId="5" state="visible" r:id="rId5"/>
  </sheets>
  <definedNames>
    <definedName name="_xlnm._FilterDatabase" localSheetId="2" hidden="1">'Test Case Index'!$A$1:$O$133</definedName>
    <definedName name="_xlnm._FilterDatabase" localSheetId="3" hidden="1">'Detailed Steps'!$A$1:$J$231</definedName>
    <definedName name="_xlnm._FilterDatabase" localSheetId="4" hidden="1">'Traceability'!$A$1:$E$133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Arial"/>
      <b val="1"/>
      <color rgb="003730A3"/>
      <sz val="20"/>
    </font>
    <font>
      <name val="Arial"/>
      <color rgb="00475569"/>
      <sz val="11"/>
    </font>
    <font>
      <name val="Arial"/>
      <b val="1"/>
      <color rgb="000F172A"/>
      <sz val="10"/>
    </font>
    <font>
      <name val="Arial"/>
      <color rgb="001F2937"/>
      <sz val="10"/>
    </font>
    <font>
      <name val="Arial"/>
      <b val="1"/>
      <color rgb="003730A3"/>
      <sz val="12"/>
    </font>
    <font>
      <name val="Arial"/>
      <b val="1"/>
      <color rgb="00B91C1C"/>
      <sz val="10"/>
    </font>
    <font>
      <name val="Arial"/>
      <b val="1"/>
      <color rgb="0092400E"/>
      <sz val="10"/>
    </font>
    <font>
      <name val="Arial"/>
      <b val="1"/>
      <color rgb="00166534"/>
      <sz val="10"/>
    </font>
    <font>
      <name val="Arial"/>
      <b val="1"/>
      <color rgb="00FFFFFF"/>
      <sz val="10"/>
    </font>
    <font>
      <name val="Arial"/>
      <color rgb="000F172A"/>
      <sz val="9"/>
    </font>
    <font>
      <name val="Arial"/>
      <b val="1"/>
      <color rgb="00B91C1C"/>
      <sz val="9"/>
    </font>
    <font>
      <name val="Arial"/>
      <b val="1"/>
      <color rgb="003730A3"/>
      <sz val="9"/>
    </font>
    <font>
      <name val="Arial"/>
      <b val="1"/>
      <color rgb="0092400E"/>
      <sz val="9"/>
    </font>
    <font>
      <name val="Arial"/>
      <b val="1"/>
      <color rgb="00166534"/>
      <sz val="9"/>
    </font>
    <font>
      <name val="Arial"/>
      <b val="1"/>
      <color rgb="000F172A"/>
      <sz val="9"/>
    </font>
    <font>
      <name val="Arial"/>
      <b val="1"/>
      <color rgb="003730A3"/>
      <sz val="16"/>
    </font>
    <font>
      <name val="Arial"/>
      <color rgb="000F172A"/>
      <sz val="10"/>
    </font>
    <font>
      <name val="Arial"/>
      <b val="1"/>
      <color rgb="003730A3"/>
      <sz val="11"/>
    </font>
  </fonts>
  <fills count="10">
    <fill>
      <patternFill/>
    </fill>
    <fill>
      <patternFill patternType="gray125"/>
    </fill>
    <fill>
      <patternFill patternType="solid">
        <fgColor rgb="00FDE2E1"/>
      </patternFill>
    </fill>
    <fill>
      <patternFill patternType="solid">
        <fgColor rgb="00FEF3C7"/>
      </patternFill>
    </fill>
    <fill>
      <patternFill patternType="solid">
        <fgColor rgb="00E7F7EC"/>
      </patternFill>
    </fill>
    <fill>
      <patternFill patternType="solid">
        <fgColor rgb="004F46E5"/>
      </patternFill>
    </fill>
    <fill>
      <patternFill patternType="solid">
        <fgColor rgb="00F5F7FB"/>
      </patternFill>
    </fill>
    <fill>
      <patternFill patternType="solid">
        <fgColor rgb="00E8ECF6"/>
      </patternFill>
    </fill>
    <fill>
      <patternFill patternType="solid">
        <fgColor rgb="000EA5E9"/>
      </patternFill>
    </fill>
    <fill>
      <patternFill patternType="solid">
        <fgColor rgb="003730A3"/>
      </patternFill>
    </fill>
  </fills>
  <borders count="2">
    <border>
      <left/>
      <right/>
      <top/>
      <bottom/>
      <diagonal/>
    </border>
    <border>
      <left style="thin">
        <color rgb="00D5DBE6"/>
      </left>
      <right style="thin">
        <color rgb="00D5DBE6"/>
      </right>
      <top style="thin">
        <color rgb="00D5DBE6"/>
      </top>
      <bottom style="thin">
        <color rgb="00D5DBE6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6" fillId="0" borderId="0" pivotButton="0" quotePrefix="0" xfId="0"/>
    <xf numFmtId="0" fontId="9" fillId="5" borderId="1" applyAlignment="1" pivotButton="0" quotePrefix="0" xfId="0">
      <alignment horizontal="center" vertical="center"/>
    </xf>
    <xf numFmtId="0" fontId="17" fillId="0" borderId="1" applyAlignment="1" pivotButton="0" quotePrefix="0" xfId="0">
      <alignment vertical="center"/>
    </xf>
    <xf numFmtId="0" fontId="17" fillId="0" borderId="1" applyAlignment="1" pivotButton="0" quotePrefix="0" xfId="0">
      <alignment horizontal="center" vertical="center"/>
    </xf>
    <xf numFmtId="0" fontId="17" fillId="6" borderId="1" applyAlignment="1" pivotButton="0" quotePrefix="0" xfId="0">
      <alignment vertical="center"/>
    </xf>
    <xf numFmtId="0" fontId="17" fillId="6" borderId="1" applyAlignment="1" pivotButton="0" quotePrefix="0" xfId="0">
      <alignment horizontal="center" vertical="center"/>
    </xf>
    <xf numFmtId="0" fontId="9" fillId="9" borderId="1" pivotButton="0" quotePrefix="0" xfId="0"/>
    <xf numFmtId="0" fontId="9" fillId="9" borderId="1" applyAlignment="1" pivotButton="0" quotePrefix="0" xfId="0">
      <alignment horizontal="center" vertical="center"/>
    </xf>
    <xf numFmtId="0" fontId="3" fillId="0" borderId="0" pivotButton="0" quotePrefix="0" xfId="0"/>
    <xf numFmtId="164" fontId="18" fillId="0" borderId="0" applyAlignment="1" pivotButton="0" quotePrefix="0" xfId="0">
      <alignment horizontal="center"/>
    </xf>
    <xf numFmtId="0" fontId="17" fillId="0" borderId="0" pivotButton="0" quotePrefix="0" xfId="0"/>
    <xf numFmtId="0" fontId="0" fillId="0" borderId="0" applyAlignment="1" pivotButton="0" quotePrefix="0" xfId="0">
      <alignment horizontal="center"/>
    </xf>
    <xf numFmtId="0" fontId="9" fillId="5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vertical="top" wrapText="1"/>
    </xf>
    <xf numFmtId="0" fontId="10" fillId="6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vertical="top" wrapText="1"/>
    </xf>
    <xf numFmtId="0" fontId="10" fillId="7" borderId="1" applyAlignment="1" pivotButton="0" quotePrefix="0" xfId="0">
      <alignment vertical="top" wrapText="1"/>
    </xf>
    <xf numFmtId="0" fontId="15" fillId="7" borderId="1" applyAlignment="1" pivotButton="0" quotePrefix="0" xfId="0">
      <alignment vertical="top" wrapText="1"/>
    </xf>
    <xf numFmtId="0" fontId="10" fillId="7" borderId="1" applyAlignment="1" pivotButton="0" quotePrefix="0" xfId="0">
      <alignment horizontal="center" vertical="top"/>
    </xf>
    <xf numFmtId="0" fontId="10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88" customWidth="1" min="3" max="3"/>
    <col width="3" customWidth="1" min="4" max="4"/>
  </cols>
  <sheetData>
    <row r="2" ht="28" customHeight="1">
      <c r="B2" s="1" t="inlineStr">
        <is>
          <t>SchoolHub / SIPlat — System Test Script</t>
        </is>
      </c>
    </row>
    <row r="3">
      <c r="B3" s="2" t="inlineStr">
        <is>
          <t>End-to-end system testing across all portals (web) and the mobile app</t>
        </is>
      </c>
    </row>
    <row r="5">
      <c r="B5" s="3" t="inlineStr">
        <is>
          <t>Document</t>
        </is>
      </c>
      <c r="C5" s="4" t="inlineStr">
        <is>
          <t>System Test Script (SIT/UAT)</t>
        </is>
      </c>
    </row>
    <row r="6">
      <c r="B6" s="3" t="inlineStr">
        <is>
          <t>Product</t>
        </is>
      </c>
      <c r="C6" s="4" t="inlineStr">
        <is>
          <t>SchoolHub / SIPlat — multi-tenant schools platform</t>
        </is>
      </c>
    </row>
    <row r="7">
      <c r="B7" s="3" t="inlineStr">
        <is>
          <t>Version</t>
        </is>
      </c>
      <c r="C7" s="4" t="inlineStr">
        <is>
          <t>1.0</t>
        </is>
      </c>
    </row>
    <row r="8">
      <c r="B8" s="3" t="inlineStr">
        <is>
          <t>Prepared</t>
        </is>
      </c>
      <c r="C8" s="4" t="inlineStr">
        <is>
          <t>2026-08-15</t>
        </is>
      </c>
    </row>
    <row r="9">
      <c r="B9" s="3" t="inlineStr">
        <is>
          <t>Author</t>
        </is>
      </c>
      <c r="C9" s="4" t="inlineStr">
        <is>
          <t>QA / Delivery</t>
        </is>
      </c>
    </row>
    <row r="10">
      <c r="B10" s="3" t="inlineStr">
        <is>
          <t>Environment</t>
        </is>
      </c>
      <c r="C10" s="4" t="inlineStr">
        <is>
          <t>____________________  (URL / build / device)</t>
        </is>
      </c>
    </row>
    <row r="11">
      <c r="B11" s="3" t="inlineStr">
        <is>
          <t>Test data set</t>
        </is>
      </c>
      <c r="C11" s="4" t="inlineStr">
        <is>
          <t>____________________</t>
        </is>
      </c>
    </row>
    <row r="12">
      <c r="B12" s="3" t="inlineStr">
        <is>
          <t>Scope</t>
        </is>
      </c>
      <c r="C12" s="4" t="inlineStr">
        <is>
          <t>Auth &amp; RBAC, Super-Admin, Commercial &amp; Activation, Account-Manager scoping, School-Admin, Teacher, Parent, Driver (web + mobile), Transport-Manager, Messaging, Download Governance, Notifications, Onboarding, Security/PII, Integrations, Support, and cross-cutting regression.</t>
        </is>
      </c>
    </row>
    <row r="13">
      <c r="B13" s="3" t="inlineStr">
        <is>
          <t>Out of scope</t>
        </is>
      </c>
      <c r="C13" s="4" t="inlineStr">
        <is>
          <t>Load/soak, penetration testing, and third-party provider internals (covered by separate specialist test plans).</t>
        </is>
      </c>
    </row>
    <row r="15">
      <c r="B15" s="5" t="inlineStr">
        <is>
          <t>How to use this workbook</t>
        </is>
      </c>
    </row>
    <row r="16">
      <c r="C16" s="4" t="inlineStr">
        <is>
          <t>1. Test Case Index — one row per case. Fill Status, Tester, Date and Comments as you execute.</t>
        </is>
      </c>
    </row>
    <row r="17">
      <c r="C17" s="4" t="inlineStr">
        <is>
          <t>2. Detailed Steps — numbered steps for every case with Action, Test Data and Expected Result; record Actual + per-step Status.</t>
        </is>
      </c>
    </row>
    <row r="18">
      <c r="C18" s="4" t="inlineStr">
        <is>
          <t>3. Traceability — maps each case to a requirement/feature reference.</t>
        </is>
      </c>
    </row>
    <row r="19">
      <c r="C19" s="4" t="inlineStr">
        <is>
          <t>4. Summary — live pass/fail roll-up by module (updates from the Index Status column).</t>
        </is>
      </c>
    </row>
    <row r="20">
      <c r="C20" s="4" t="inlineStr">
        <is>
          <t>Status values: Pass · Fail · Blocked · In Progress · Not Run.  Raise a defect ID in Comments for any Fail.</t>
        </is>
      </c>
    </row>
    <row r="22">
      <c r="B22" s="5" t="inlineStr">
        <is>
          <t>Legend</t>
        </is>
      </c>
    </row>
    <row r="23">
      <c r="B23" s="6" t="inlineStr">
        <is>
          <t>High priority</t>
        </is>
      </c>
    </row>
    <row r="24">
      <c r="B24" s="7" t="inlineStr">
        <is>
          <t>Medium priority</t>
        </is>
      </c>
    </row>
    <row r="25">
      <c r="B25" s="8" t="inlineStr">
        <is>
          <t>Low priority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9" t="inlineStr">
        <is>
          <t>Execution Summary</t>
        </is>
      </c>
    </row>
    <row r="4">
      <c r="B4" s="10" t="inlineStr">
        <is>
          <t>Module</t>
        </is>
      </c>
      <c r="C4" s="10" t="inlineStr">
        <is>
          <t>Total</t>
        </is>
      </c>
      <c r="D4" s="10" t="inlineStr">
        <is>
          <t>Pass</t>
        </is>
      </c>
      <c r="E4" s="10" t="inlineStr">
        <is>
          <t>Fail</t>
        </is>
      </c>
      <c r="F4" s="10" t="inlineStr">
        <is>
          <t>Blocked</t>
        </is>
      </c>
      <c r="G4" s="10" t="inlineStr">
        <is>
          <t>In Progress</t>
        </is>
      </c>
      <c r="H4" s="10" t="inlineStr">
        <is>
          <t>Not Run</t>
        </is>
      </c>
    </row>
    <row r="5">
      <c r="B5" s="11" t="inlineStr">
        <is>
          <t>Authentication &amp; Session</t>
        </is>
      </c>
      <c r="C5" s="12">
        <f>COUNTIF('Test Case Index'!$B$2:$B$133,$B5)</f>
        <v/>
      </c>
      <c r="D5" s="12">
        <f>COUNTIFS('Test Case Index'!$B$2:$B$133,$B5,'Test Case Index'!$L$2:$L$133,"Pass")</f>
        <v/>
      </c>
      <c r="E5" s="12">
        <f>COUNTIFS('Test Case Index'!$B$2:$B$133,$B5,'Test Case Index'!$L$2:$L$133,"Fail")</f>
        <v/>
      </c>
      <c r="F5" s="12">
        <f>COUNTIFS('Test Case Index'!$B$2:$B$133,$B5,'Test Case Index'!$L$2:$L$133,"Blocked")</f>
        <v/>
      </c>
      <c r="G5" s="12">
        <f>COUNTIFS('Test Case Index'!$B$2:$B$133,$B5,'Test Case Index'!$L$2:$L$133,"In Progress")</f>
        <v/>
      </c>
      <c r="H5" s="12">
        <f>COUNTIFS('Test Case Index'!$B$2:$B$133,$B5,'Test Case Index'!$L$2:$L$133,"Not Run")</f>
        <v/>
      </c>
    </row>
    <row r="6">
      <c r="B6" s="13" t="inlineStr">
        <is>
          <t>Roles, Permissions &amp; Isolation</t>
        </is>
      </c>
      <c r="C6" s="14">
        <f>COUNTIF('Test Case Index'!$B$2:$B$133,$B6)</f>
        <v/>
      </c>
      <c r="D6" s="14">
        <f>COUNTIFS('Test Case Index'!$B$2:$B$133,$B6,'Test Case Index'!$L$2:$L$133,"Pass")</f>
        <v/>
      </c>
      <c r="E6" s="14">
        <f>COUNTIFS('Test Case Index'!$B$2:$B$133,$B6,'Test Case Index'!$L$2:$L$133,"Fail")</f>
        <v/>
      </c>
      <c r="F6" s="14">
        <f>COUNTIFS('Test Case Index'!$B$2:$B$133,$B6,'Test Case Index'!$L$2:$L$133,"Blocked")</f>
        <v/>
      </c>
      <c r="G6" s="14">
        <f>COUNTIFS('Test Case Index'!$B$2:$B$133,$B6,'Test Case Index'!$L$2:$L$133,"In Progress")</f>
        <v/>
      </c>
      <c r="H6" s="14">
        <f>COUNTIFS('Test Case Index'!$B$2:$B$133,$B6,'Test Case Index'!$L$2:$L$133,"Not Run")</f>
        <v/>
      </c>
    </row>
    <row r="7">
      <c r="B7" s="11" t="inlineStr">
        <is>
          <t>Account Manager Scoping</t>
        </is>
      </c>
      <c r="C7" s="12">
        <f>COUNTIF('Test Case Index'!$B$2:$B$133,$B7)</f>
        <v/>
      </c>
      <c r="D7" s="12">
        <f>COUNTIFS('Test Case Index'!$B$2:$B$133,$B7,'Test Case Index'!$L$2:$L$133,"Pass")</f>
        <v/>
      </c>
      <c r="E7" s="12">
        <f>COUNTIFS('Test Case Index'!$B$2:$B$133,$B7,'Test Case Index'!$L$2:$L$133,"Fail")</f>
        <v/>
      </c>
      <c r="F7" s="12">
        <f>COUNTIFS('Test Case Index'!$B$2:$B$133,$B7,'Test Case Index'!$L$2:$L$133,"Blocked")</f>
        <v/>
      </c>
      <c r="G7" s="12">
        <f>COUNTIFS('Test Case Index'!$B$2:$B$133,$B7,'Test Case Index'!$L$2:$L$133,"In Progress")</f>
        <v/>
      </c>
      <c r="H7" s="12">
        <f>COUNTIFS('Test Case Index'!$B$2:$B$133,$B7,'Test Case Index'!$L$2:$L$133,"Not Run")</f>
        <v/>
      </c>
    </row>
    <row r="8">
      <c r="B8" s="13" t="inlineStr">
        <is>
          <t>Super-Admin / Platform Mgmt</t>
        </is>
      </c>
      <c r="C8" s="14">
        <f>COUNTIF('Test Case Index'!$B$2:$B$133,$B8)</f>
        <v/>
      </c>
      <c r="D8" s="14">
        <f>COUNTIFS('Test Case Index'!$B$2:$B$133,$B8,'Test Case Index'!$L$2:$L$133,"Pass")</f>
        <v/>
      </c>
      <c r="E8" s="14">
        <f>COUNTIFS('Test Case Index'!$B$2:$B$133,$B8,'Test Case Index'!$L$2:$L$133,"Fail")</f>
        <v/>
      </c>
      <c r="F8" s="14">
        <f>COUNTIFS('Test Case Index'!$B$2:$B$133,$B8,'Test Case Index'!$L$2:$L$133,"Blocked")</f>
        <v/>
      </c>
      <c r="G8" s="14">
        <f>COUNTIFS('Test Case Index'!$B$2:$B$133,$B8,'Test Case Index'!$L$2:$L$133,"In Progress")</f>
        <v/>
      </c>
      <c r="H8" s="14">
        <f>COUNTIFS('Test Case Index'!$B$2:$B$133,$B8,'Test Case Index'!$L$2:$L$133,"Not Run")</f>
        <v/>
      </c>
    </row>
    <row r="9">
      <c r="B9" s="11" t="inlineStr">
        <is>
          <t>Commercial &amp; Purchase Orders</t>
        </is>
      </c>
      <c r="C9" s="12">
        <f>COUNTIF('Test Case Index'!$B$2:$B$133,$B9)</f>
        <v/>
      </c>
      <c r="D9" s="12">
        <f>COUNTIFS('Test Case Index'!$B$2:$B$133,$B9,'Test Case Index'!$L$2:$L$133,"Pass")</f>
        <v/>
      </c>
      <c r="E9" s="12">
        <f>COUNTIFS('Test Case Index'!$B$2:$B$133,$B9,'Test Case Index'!$L$2:$L$133,"Fail")</f>
        <v/>
      </c>
      <c r="F9" s="12">
        <f>COUNTIFS('Test Case Index'!$B$2:$B$133,$B9,'Test Case Index'!$L$2:$L$133,"Blocked")</f>
        <v/>
      </c>
      <c r="G9" s="12">
        <f>COUNTIFS('Test Case Index'!$B$2:$B$133,$B9,'Test Case Index'!$L$2:$L$133,"In Progress")</f>
        <v/>
      </c>
      <c r="H9" s="12">
        <f>COUNTIFS('Test Case Index'!$B$2:$B$133,$B9,'Test Case Index'!$L$2:$L$133,"Not Run")</f>
        <v/>
      </c>
    </row>
    <row r="10">
      <c r="B10" s="13" t="inlineStr">
        <is>
          <t>Invoice &amp; Activation Workflow</t>
        </is>
      </c>
      <c r="C10" s="14">
        <f>COUNTIF('Test Case Index'!$B$2:$B$133,$B10)</f>
        <v/>
      </c>
      <c r="D10" s="14">
        <f>COUNTIFS('Test Case Index'!$B$2:$B$133,$B10,'Test Case Index'!$L$2:$L$133,"Pass")</f>
        <v/>
      </c>
      <c r="E10" s="14">
        <f>COUNTIFS('Test Case Index'!$B$2:$B$133,$B10,'Test Case Index'!$L$2:$L$133,"Fail")</f>
        <v/>
      </c>
      <c r="F10" s="14">
        <f>COUNTIFS('Test Case Index'!$B$2:$B$133,$B10,'Test Case Index'!$L$2:$L$133,"Blocked")</f>
        <v/>
      </c>
      <c r="G10" s="14">
        <f>COUNTIFS('Test Case Index'!$B$2:$B$133,$B10,'Test Case Index'!$L$2:$L$133,"In Progress")</f>
        <v/>
      </c>
      <c r="H10" s="14">
        <f>COUNTIFS('Test Case Index'!$B$2:$B$133,$B10,'Test Case Index'!$L$2:$L$133,"Not Run")</f>
        <v/>
      </c>
    </row>
    <row r="11">
      <c r="B11" s="11" t="inlineStr">
        <is>
          <t>Messaging</t>
        </is>
      </c>
      <c r="C11" s="12">
        <f>COUNTIF('Test Case Index'!$B$2:$B$133,$B11)</f>
        <v/>
      </c>
      <c r="D11" s="12">
        <f>COUNTIFS('Test Case Index'!$B$2:$B$133,$B11,'Test Case Index'!$L$2:$L$133,"Pass")</f>
        <v/>
      </c>
      <c r="E11" s="12">
        <f>COUNTIFS('Test Case Index'!$B$2:$B$133,$B11,'Test Case Index'!$L$2:$L$133,"Fail")</f>
        <v/>
      </c>
      <c r="F11" s="12">
        <f>COUNTIFS('Test Case Index'!$B$2:$B$133,$B11,'Test Case Index'!$L$2:$L$133,"Blocked")</f>
        <v/>
      </c>
      <c r="G11" s="12">
        <f>COUNTIFS('Test Case Index'!$B$2:$B$133,$B11,'Test Case Index'!$L$2:$L$133,"In Progress")</f>
        <v/>
      </c>
      <c r="H11" s="12">
        <f>COUNTIFS('Test Case Index'!$B$2:$B$133,$B11,'Test Case Index'!$L$2:$L$133,"Not Run")</f>
        <v/>
      </c>
    </row>
    <row r="12">
      <c r="B12" s="13" t="inlineStr">
        <is>
          <t>Download Governance</t>
        </is>
      </c>
      <c r="C12" s="14">
        <f>COUNTIF('Test Case Index'!$B$2:$B$133,$B12)</f>
        <v/>
      </c>
      <c r="D12" s="14">
        <f>COUNTIFS('Test Case Index'!$B$2:$B$133,$B12,'Test Case Index'!$L$2:$L$133,"Pass")</f>
        <v/>
      </c>
      <c r="E12" s="14">
        <f>COUNTIFS('Test Case Index'!$B$2:$B$133,$B12,'Test Case Index'!$L$2:$L$133,"Fail")</f>
        <v/>
      </c>
      <c r="F12" s="14">
        <f>COUNTIFS('Test Case Index'!$B$2:$B$133,$B12,'Test Case Index'!$L$2:$L$133,"Blocked")</f>
        <v/>
      </c>
      <c r="G12" s="14">
        <f>COUNTIFS('Test Case Index'!$B$2:$B$133,$B12,'Test Case Index'!$L$2:$L$133,"In Progress")</f>
        <v/>
      </c>
      <c r="H12" s="14">
        <f>COUNTIFS('Test Case Index'!$B$2:$B$133,$B12,'Test Case Index'!$L$2:$L$133,"Not Run")</f>
        <v/>
      </c>
    </row>
    <row r="13">
      <c r="B13" s="11" t="inlineStr">
        <is>
          <t>School-Admin Portal</t>
        </is>
      </c>
      <c r="C13" s="12">
        <f>COUNTIF('Test Case Index'!$B$2:$B$133,$B13)</f>
        <v/>
      </c>
      <c r="D13" s="12">
        <f>COUNTIFS('Test Case Index'!$B$2:$B$133,$B13,'Test Case Index'!$L$2:$L$133,"Pass")</f>
        <v/>
      </c>
      <c r="E13" s="12">
        <f>COUNTIFS('Test Case Index'!$B$2:$B$133,$B13,'Test Case Index'!$L$2:$L$133,"Fail")</f>
        <v/>
      </c>
      <c r="F13" s="12">
        <f>COUNTIFS('Test Case Index'!$B$2:$B$133,$B13,'Test Case Index'!$L$2:$L$133,"Blocked")</f>
        <v/>
      </c>
      <c r="G13" s="12">
        <f>COUNTIFS('Test Case Index'!$B$2:$B$133,$B13,'Test Case Index'!$L$2:$L$133,"In Progress")</f>
        <v/>
      </c>
      <c r="H13" s="12">
        <f>COUNTIFS('Test Case Index'!$B$2:$B$133,$B13,'Test Case Index'!$L$2:$L$133,"Not Run")</f>
        <v/>
      </c>
    </row>
    <row r="14">
      <c r="B14" s="13" t="inlineStr">
        <is>
          <t>Teacher Portal</t>
        </is>
      </c>
      <c r="C14" s="14">
        <f>COUNTIF('Test Case Index'!$B$2:$B$133,$B14)</f>
        <v/>
      </c>
      <c r="D14" s="14">
        <f>COUNTIFS('Test Case Index'!$B$2:$B$133,$B14,'Test Case Index'!$L$2:$L$133,"Pass")</f>
        <v/>
      </c>
      <c r="E14" s="14">
        <f>COUNTIFS('Test Case Index'!$B$2:$B$133,$B14,'Test Case Index'!$L$2:$L$133,"Fail")</f>
        <v/>
      </c>
      <c r="F14" s="14">
        <f>COUNTIFS('Test Case Index'!$B$2:$B$133,$B14,'Test Case Index'!$L$2:$L$133,"Blocked")</f>
        <v/>
      </c>
      <c r="G14" s="14">
        <f>COUNTIFS('Test Case Index'!$B$2:$B$133,$B14,'Test Case Index'!$L$2:$L$133,"In Progress")</f>
        <v/>
      </c>
      <c r="H14" s="14">
        <f>COUNTIFS('Test Case Index'!$B$2:$B$133,$B14,'Test Case Index'!$L$2:$L$133,"Not Run")</f>
        <v/>
      </c>
    </row>
    <row r="15">
      <c r="B15" s="11" t="inlineStr">
        <is>
          <t>Parent Portal</t>
        </is>
      </c>
      <c r="C15" s="12">
        <f>COUNTIF('Test Case Index'!$B$2:$B$133,$B15)</f>
        <v/>
      </c>
      <c r="D15" s="12">
        <f>COUNTIFS('Test Case Index'!$B$2:$B$133,$B15,'Test Case Index'!$L$2:$L$133,"Pass")</f>
        <v/>
      </c>
      <c r="E15" s="12">
        <f>COUNTIFS('Test Case Index'!$B$2:$B$133,$B15,'Test Case Index'!$L$2:$L$133,"Fail")</f>
        <v/>
      </c>
      <c r="F15" s="12">
        <f>COUNTIFS('Test Case Index'!$B$2:$B$133,$B15,'Test Case Index'!$L$2:$L$133,"Blocked")</f>
        <v/>
      </c>
      <c r="G15" s="12">
        <f>COUNTIFS('Test Case Index'!$B$2:$B$133,$B15,'Test Case Index'!$L$2:$L$133,"In Progress")</f>
        <v/>
      </c>
      <c r="H15" s="12">
        <f>COUNTIFS('Test Case Index'!$B$2:$B$133,$B15,'Test Case Index'!$L$2:$L$133,"Not Run")</f>
        <v/>
      </c>
    </row>
    <row r="16">
      <c r="B16" s="13" t="inlineStr">
        <is>
          <t>Driver Portal (Web)</t>
        </is>
      </c>
      <c r="C16" s="14">
        <f>COUNTIF('Test Case Index'!$B$2:$B$133,$B16)</f>
        <v/>
      </c>
      <c r="D16" s="14">
        <f>COUNTIFS('Test Case Index'!$B$2:$B$133,$B16,'Test Case Index'!$L$2:$L$133,"Pass")</f>
        <v/>
      </c>
      <c r="E16" s="14">
        <f>COUNTIFS('Test Case Index'!$B$2:$B$133,$B16,'Test Case Index'!$L$2:$L$133,"Fail")</f>
        <v/>
      </c>
      <c r="F16" s="14">
        <f>COUNTIFS('Test Case Index'!$B$2:$B$133,$B16,'Test Case Index'!$L$2:$L$133,"Blocked")</f>
        <v/>
      </c>
      <c r="G16" s="14">
        <f>COUNTIFS('Test Case Index'!$B$2:$B$133,$B16,'Test Case Index'!$L$2:$L$133,"In Progress")</f>
        <v/>
      </c>
      <c r="H16" s="14">
        <f>COUNTIFS('Test Case Index'!$B$2:$B$133,$B16,'Test Case Index'!$L$2:$L$133,"Not Run")</f>
        <v/>
      </c>
    </row>
    <row r="17">
      <c r="B17" s="11" t="inlineStr">
        <is>
          <t>Driver App (Mobile)</t>
        </is>
      </c>
      <c r="C17" s="12">
        <f>COUNTIF('Test Case Index'!$B$2:$B$133,$B17)</f>
        <v/>
      </c>
      <c r="D17" s="12">
        <f>COUNTIFS('Test Case Index'!$B$2:$B$133,$B17,'Test Case Index'!$L$2:$L$133,"Pass")</f>
        <v/>
      </c>
      <c r="E17" s="12">
        <f>COUNTIFS('Test Case Index'!$B$2:$B$133,$B17,'Test Case Index'!$L$2:$L$133,"Fail")</f>
        <v/>
      </c>
      <c r="F17" s="12">
        <f>COUNTIFS('Test Case Index'!$B$2:$B$133,$B17,'Test Case Index'!$L$2:$L$133,"Blocked")</f>
        <v/>
      </c>
      <c r="G17" s="12">
        <f>COUNTIFS('Test Case Index'!$B$2:$B$133,$B17,'Test Case Index'!$L$2:$L$133,"In Progress")</f>
        <v/>
      </c>
      <c r="H17" s="12">
        <f>COUNTIFS('Test Case Index'!$B$2:$B$133,$B17,'Test Case Index'!$L$2:$L$133,"Not Run")</f>
        <v/>
      </c>
    </row>
    <row r="18">
      <c r="B18" s="13" t="inlineStr">
        <is>
          <t>Transport-Manager Portal</t>
        </is>
      </c>
      <c r="C18" s="14">
        <f>COUNTIF('Test Case Index'!$B$2:$B$133,$B18)</f>
        <v/>
      </c>
      <c r="D18" s="14">
        <f>COUNTIFS('Test Case Index'!$B$2:$B$133,$B18,'Test Case Index'!$L$2:$L$133,"Pass")</f>
        <v/>
      </c>
      <c r="E18" s="14">
        <f>COUNTIFS('Test Case Index'!$B$2:$B$133,$B18,'Test Case Index'!$L$2:$L$133,"Fail")</f>
        <v/>
      </c>
      <c r="F18" s="14">
        <f>COUNTIFS('Test Case Index'!$B$2:$B$133,$B18,'Test Case Index'!$L$2:$L$133,"Blocked")</f>
        <v/>
      </c>
      <c r="G18" s="14">
        <f>COUNTIFS('Test Case Index'!$B$2:$B$133,$B18,'Test Case Index'!$L$2:$L$133,"In Progress")</f>
        <v/>
      </c>
      <c r="H18" s="14">
        <f>COUNTIFS('Test Case Index'!$B$2:$B$133,$B18,'Test Case Index'!$L$2:$L$133,"Not Run")</f>
        <v/>
      </c>
    </row>
    <row r="19">
      <c r="B19" s="11" t="inlineStr">
        <is>
          <t>Onboarding &amp; Profile Enforcement</t>
        </is>
      </c>
      <c r="C19" s="12">
        <f>COUNTIF('Test Case Index'!$B$2:$B$133,$B19)</f>
        <v/>
      </c>
      <c r="D19" s="12">
        <f>COUNTIFS('Test Case Index'!$B$2:$B$133,$B19,'Test Case Index'!$L$2:$L$133,"Pass")</f>
        <v/>
      </c>
      <c r="E19" s="12">
        <f>COUNTIFS('Test Case Index'!$B$2:$B$133,$B19,'Test Case Index'!$L$2:$L$133,"Fail")</f>
        <v/>
      </c>
      <c r="F19" s="12">
        <f>COUNTIFS('Test Case Index'!$B$2:$B$133,$B19,'Test Case Index'!$L$2:$L$133,"Blocked")</f>
        <v/>
      </c>
      <c r="G19" s="12">
        <f>COUNTIFS('Test Case Index'!$B$2:$B$133,$B19,'Test Case Index'!$L$2:$L$133,"In Progress")</f>
        <v/>
      </c>
      <c r="H19" s="12">
        <f>COUNTIFS('Test Case Index'!$B$2:$B$133,$B19,'Test Case Index'!$L$2:$L$133,"Not Run")</f>
        <v/>
      </c>
    </row>
    <row r="20">
      <c r="B20" s="13" t="inlineStr">
        <is>
          <t>Notifications &amp; Preferences</t>
        </is>
      </c>
      <c r="C20" s="14">
        <f>COUNTIF('Test Case Index'!$B$2:$B$133,$B20)</f>
        <v/>
      </c>
      <c r="D20" s="14">
        <f>COUNTIFS('Test Case Index'!$B$2:$B$133,$B20,'Test Case Index'!$L$2:$L$133,"Pass")</f>
        <v/>
      </c>
      <c r="E20" s="14">
        <f>COUNTIFS('Test Case Index'!$B$2:$B$133,$B20,'Test Case Index'!$L$2:$L$133,"Fail")</f>
        <v/>
      </c>
      <c r="F20" s="14">
        <f>COUNTIFS('Test Case Index'!$B$2:$B$133,$B20,'Test Case Index'!$L$2:$L$133,"Blocked")</f>
        <v/>
      </c>
      <c r="G20" s="14">
        <f>COUNTIFS('Test Case Index'!$B$2:$B$133,$B20,'Test Case Index'!$L$2:$L$133,"In Progress")</f>
        <v/>
      </c>
      <c r="H20" s="14">
        <f>COUNTIFS('Test Case Index'!$B$2:$B$133,$B20,'Test Case Index'!$L$2:$L$133,"Not Run")</f>
        <v/>
      </c>
    </row>
    <row r="21">
      <c r="B21" s="11" t="inlineStr">
        <is>
          <t>Security, PII &amp; Audit</t>
        </is>
      </c>
      <c r="C21" s="12">
        <f>COUNTIF('Test Case Index'!$B$2:$B$133,$B21)</f>
        <v/>
      </c>
      <c r="D21" s="12">
        <f>COUNTIFS('Test Case Index'!$B$2:$B$133,$B21,'Test Case Index'!$L$2:$L$133,"Pass")</f>
        <v/>
      </c>
      <c r="E21" s="12">
        <f>COUNTIFS('Test Case Index'!$B$2:$B$133,$B21,'Test Case Index'!$L$2:$L$133,"Fail")</f>
        <v/>
      </c>
      <c r="F21" s="12">
        <f>COUNTIFS('Test Case Index'!$B$2:$B$133,$B21,'Test Case Index'!$L$2:$L$133,"Blocked")</f>
        <v/>
      </c>
      <c r="G21" s="12">
        <f>COUNTIFS('Test Case Index'!$B$2:$B$133,$B21,'Test Case Index'!$L$2:$L$133,"In Progress")</f>
        <v/>
      </c>
      <c r="H21" s="12">
        <f>COUNTIFS('Test Case Index'!$B$2:$B$133,$B21,'Test Case Index'!$L$2:$L$133,"Not Run")</f>
        <v/>
      </c>
    </row>
    <row r="22">
      <c r="B22" s="13" t="inlineStr">
        <is>
          <t>Integration Hub</t>
        </is>
      </c>
      <c r="C22" s="14">
        <f>COUNTIF('Test Case Index'!$B$2:$B$133,$B22)</f>
        <v/>
      </c>
      <c r="D22" s="14">
        <f>COUNTIFS('Test Case Index'!$B$2:$B$133,$B22,'Test Case Index'!$L$2:$L$133,"Pass")</f>
        <v/>
      </c>
      <c r="E22" s="14">
        <f>COUNTIFS('Test Case Index'!$B$2:$B$133,$B22,'Test Case Index'!$L$2:$L$133,"Fail")</f>
        <v/>
      </c>
      <c r="F22" s="14">
        <f>COUNTIFS('Test Case Index'!$B$2:$B$133,$B22,'Test Case Index'!$L$2:$L$133,"Blocked")</f>
        <v/>
      </c>
      <c r="G22" s="14">
        <f>COUNTIFS('Test Case Index'!$B$2:$B$133,$B22,'Test Case Index'!$L$2:$L$133,"In Progress")</f>
        <v/>
      </c>
      <c r="H22" s="14">
        <f>COUNTIFS('Test Case Index'!$B$2:$B$133,$B22,'Test Case Index'!$L$2:$L$133,"Not Run")</f>
        <v/>
      </c>
    </row>
    <row r="23">
      <c r="B23" s="11" t="inlineStr">
        <is>
          <t>Support Tickets</t>
        </is>
      </c>
      <c r="C23" s="12">
        <f>COUNTIF('Test Case Index'!$B$2:$B$133,$B23)</f>
        <v/>
      </c>
      <c r="D23" s="12">
        <f>COUNTIFS('Test Case Index'!$B$2:$B$133,$B23,'Test Case Index'!$L$2:$L$133,"Pass")</f>
        <v/>
      </c>
      <c r="E23" s="12">
        <f>COUNTIFS('Test Case Index'!$B$2:$B$133,$B23,'Test Case Index'!$L$2:$L$133,"Fail")</f>
        <v/>
      </c>
      <c r="F23" s="12">
        <f>COUNTIFS('Test Case Index'!$B$2:$B$133,$B23,'Test Case Index'!$L$2:$L$133,"Blocked")</f>
        <v/>
      </c>
      <c r="G23" s="12">
        <f>COUNTIFS('Test Case Index'!$B$2:$B$133,$B23,'Test Case Index'!$L$2:$L$133,"In Progress")</f>
        <v/>
      </c>
      <c r="H23" s="12">
        <f>COUNTIFS('Test Case Index'!$B$2:$B$133,$B23,'Test Case Index'!$L$2:$L$133,"Not Run")</f>
        <v/>
      </c>
    </row>
    <row r="24">
      <c r="B24" s="13" t="inlineStr">
        <is>
          <t>Mobile Platform / Bootstrap</t>
        </is>
      </c>
      <c r="C24" s="14">
        <f>COUNTIF('Test Case Index'!$B$2:$B$133,$B24)</f>
        <v/>
      </c>
      <c r="D24" s="14">
        <f>COUNTIFS('Test Case Index'!$B$2:$B$133,$B24,'Test Case Index'!$L$2:$L$133,"Pass")</f>
        <v/>
      </c>
      <c r="E24" s="14">
        <f>COUNTIFS('Test Case Index'!$B$2:$B$133,$B24,'Test Case Index'!$L$2:$L$133,"Fail")</f>
        <v/>
      </c>
      <c r="F24" s="14">
        <f>COUNTIFS('Test Case Index'!$B$2:$B$133,$B24,'Test Case Index'!$L$2:$L$133,"Blocked")</f>
        <v/>
      </c>
      <c r="G24" s="14">
        <f>COUNTIFS('Test Case Index'!$B$2:$B$133,$B24,'Test Case Index'!$L$2:$L$133,"In Progress")</f>
        <v/>
      </c>
      <c r="H24" s="14">
        <f>COUNTIFS('Test Case Index'!$B$2:$B$133,$B24,'Test Case Index'!$L$2:$L$133,"Not Run")</f>
        <v/>
      </c>
    </row>
    <row r="25">
      <c r="B25" s="11" t="inlineStr">
        <is>
          <t>Cross-cutting &amp; Regression</t>
        </is>
      </c>
      <c r="C25" s="12">
        <f>COUNTIF('Test Case Index'!$B$2:$B$133,$B25)</f>
        <v/>
      </c>
      <c r="D25" s="12">
        <f>COUNTIFS('Test Case Index'!$B$2:$B$133,$B25,'Test Case Index'!$L$2:$L$133,"Pass")</f>
        <v/>
      </c>
      <c r="E25" s="12">
        <f>COUNTIFS('Test Case Index'!$B$2:$B$133,$B25,'Test Case Index'!$L$2:$L$133,"Fail")</f>
        <v/>
      </c>
      <c r="F25" s="12">
        <f>COUNTIFS('Test Case Index'!$B$2:$B$133,$B25,'Test Case Index'!$L$2:$L$133,"Blocked")</f>
        <v/>
      </c>
      <c r="G25" s="12">
        <f>COUNTIFS('Test Case Index'!$B$2:$B$133,$B25,'Test Case Index'!$L$2:$L$133,"In Progress")</f>
        <v/>
      </c>
      <c r="H25" s="12">
        <f>COUNTIFS('Test Case Index'!$B$2:$B$133,$B25,'Test Case Index'!$L$2:$L$133,"Not Run")</f>
        <v/>
      </c>
    </row>
    <row r="26">
      <c r="B26" s="13" t="inlineStr">
        <is>
          <t>CRM Campaigns</t>
        </is>
      </c>
      <c r="C26" s="14">
        <f>COUNTIF('Test Case Index'!$B$2:$B$133,$B26)</f>
        <v/>
      </c>
      <c r="D26" s="14">
        <f>COUNTIFS('Test Case Index'!$B$2:$B$133,$B26,'Test Case Index'!$L$2:$L$133,"Pass")</f>
        <v/>
      </c>
      <c r="E26" s="14">
        <f>COUNTIFS('Test Case Index'!$B$2:$B$133,$B26,'Test Case Index'!$L$2:$L$133,"Fail")</f>
        <v/>
      </c>
      <c r="F26" s="14">
        <f>COUNTIFS('Test Case Index'!$B$2:$B$133,$B26,'Test Case Index'!$L$2:$L$133,"Blocked")</f>
        <v/>
      </c>
      <c r="G26" s="14">
        <f>COUNTIFS('Test Case Index'!$B$2:$B$133,$B26,'Test Case Index'!$L$2:$L$133,"In Progress")</f>
        <v/>
      </c>
      <c r="H26" s="14">
        <f>COUNTIFS('Test Case Index'!$B$2:$B$133,$B26,'Test Case Index'!$L$2:$L$133,"Not Run")</f>
        <v/>
      </c>
    </row>
    <row r="27">
      <c r="B27" s="11" t="inlineStr">
        <is>
          <t>In-progress Navigation Guard</t>
        </is>
      </c>
      <c r="C27" s="12">
        <f>COUNTIF('Test Case Index'!$B$2:$B$133,$B27)</f>
        <v/>
      </c>
      <c r="D27" s="12">
        <f>COUNTIFS('Test Case Index'!$B$2:$B$133,$B27,'Test Case Index'!$L$2:$L$133,"Pass")</f>
        <v/>
      </c>
      <c r="E27" s="12">
        <f>COUNTIFS('Test Case Index'!$B$2:$B$133,$B27,'Test Case Index'!$L$2:$L$133,"Fail")</f>
        <v/>
      </c>
      <c r="F27" s="12">
        <f>COUNTIFS('Test Case Index'!$B$2:$B$133,$B27,'Test Case Index'!$L$2:$L$133,"Blocked")</f>
        <v/>
      </c>
      <c r="G27" s="12">
        <f>COUNTIFS('Test Case Index'!$B$2:$B$133,$B27,'Test Case Index'!$L$2:$L$133,"In Progress")</f>
        <v/>
      </c>
      <c r="H27" s="12">
        <f>COUNTIFS('Test Case Index'!$B$2:$B$133,$B27,'Test Case Index'!$L$2:$L$133,"Not Run")</f>
        <v/>
      </c>
    </row>
    <row r="28">
      <c r="B28" s="13" t="inlineStr">
        <is>
          <t>Data Import (CSV)</t>
        </is>
      </c>
      <c r="C28" s="14">
        <f>COUNTIF('Test Case Index'!$B$2:$B$133,$B28)</f>
        <v/>
      </c>
      <c r="D28" s="14">
        <f>COUNTIFS('Test Case Index'!$B$2:$B$133,$B28,'Test Case Index'!$L$2:$L$133,"Pass")</f>
        <v/>
      </c>
      <c r="E28" s="14">
        <f>COUNTIFS('Test Case Index'!$B$2:$B$133,$B28,'Test Case Index'!$L$2:$L$133,"Fail")</f>
        <v/>
      </c>
      <c r="F28" s="14">
        <f>COUNTIFS('Test Case Index'!$B$2:$B$133,$B28,'Test Case Index'!$L$2:$L$133,"Blocked")</f>
        <v/>
      </c>
      <c r="G28" s="14">
        <f>COUNTIFS('Test Case Index'!$B$2:$B$133,$B28,'Test Case Index'!$L$2:$L$133,"In Progress")</f>
        <v/>
      </c>
      <c r="H28" s="14">
        <f>COUNTIFS('Test Case Index'!$B$2:$B$133,$B28,'Test Case Index'!$L$2:$L$133,"Not Run")</f>
        <v/>
      </c>
    </row>
    <row r="29">
      <c r="B29" s="11" t="inlineStr">
        <is>
          <t>Attendance</t>
        </is>
      </c>
      <c r="C29" s="12">
        <f>COUNTIF('Test Case Index'!$B$2:$B$133,$B29)</f>
        <v/>
      </c>
      <c r="D29" s="12">
        <f>COUNTIFS('Test Case Index'!$B$2:$B$133,$B29,'Test Case Index'!$L$2:$L$133,"Pass")</f>
        <v/>
      </c>
      <c r="E29" s="12">
        <f>COUNTIFS('Test Case Index'!$B$2:$B$133,$B29,'Test Case Index'!$L$2:$L$133,"Fail")</f>
        <v/>
      </c>
      <c r="F29" s="12">
        <f>COUNTIFS('Test Case Index'!$B$2:$B$133,$B29,'Test Case Index'!$L$2:$L$133,"Blocked")</f>
        <v/>
      </c>
      <c r="G29" s="12">
        <f>COUNTIFS('Test Case Index'!$B$2:$B$133,$B29,'Test Case Index'!$L$2:$L$133,"In Progress")</f>
        <v/>
      </c>
      <c r="H29" s="12">
        <f>COUNTIFS('Test Case Index'!$B$2:$B$133,$B29,'Test Case Index'!$L$2:$L$133,"Not Run")</f>
        <v/>
      </c>
    </row>
    <row r="30">
      <c r="B30" s="13" t="inlineStr">
        <is>
          <t>Super-Admin School Analytics</t>
        </is>
      </c>
      <c r="C30" s="14">
        <f>COUNTIF('Test Case Index'!$B$2:$B$133,$B30)</f>
        <v/>
      </c>
      <c r="D30" s="14">
        <f>COUNTIFS('Test Case Index'!$B$2:$B$133,$B30,'Test Case Index'!$L$2:$L$133,"Pass")</f>
        <v/>
      </c>
      <c r="E30" s="14">
        <f>COUNTIFS('Test Case Index'!$B$2:$B$133,$B30,'Test Case Index'!$L$2:$L$133,"Fail")</f>
        <v/>
      </c>
      <c r="F30" s="14">
        <f>COUNTIFS('Test Case Index'!$B$2:$B$133,$B30,'Test Case Index'!$L$2:$L$133,"Blocked")</f>
        <v/>
      </c>
      <c r="G30" s="14">
        <f>COUNTIFS('Test Case Index'!$B$2:$B$133,$B30,'Test Case Index'!$L$2:$L$133,"In Progress")</f>
        <v/>
      </c>
      <c r="H30" s="14">
        <f>COUNTIFS('Test Case Index'!$B$2:$B$133,$B30,'Test Case Index'!$L$2:$L$133,"Not Run")</f>
        <v/>
      </c>
    </row>
    <row r="31">
      <c r="B31" s="15" t="inlineStr">
        <is>
          <t>TOTAL</t>
        </is>
      </c>
      <c r="C31" s="16">
        <f>SUM(C5:C30)</f>
        <v/>
      </c>
      <c r="D31" s="16">
        <f>SUM(D5:D30)</f>
        <v/>
      </c>
      <c r="E31" s="16">
        <f>SUM(E5:E30)</f>
        <v/>
      </c>
      <c r="F31" s="16">
        <f>SUM(F5:F30)</f>
        <v/>
      </c>
      <c r="G31" s="16">
        <f>SUM(G5:G30)</f>
        <v/>
      </c>
      <c r="H31" s="16">
        <f>SUM(H5:H30)</f>
        <v/>
      </c>
    </row>
    <row r="33">
      <c r="B33" s="17" t="inlineStr">
        <is>
          <t>Pass rate (of executed)</t>
        </is>
      </c>
      <c r="C33" s="18">
        <f>IFERROR(D31/(D31+E31+F31),0)</f>
        <v/>
      </c>
    </row>
    <row r="34">
      <c r="B34" s="19" t="inlineStr">
        <is>
          <t>Executed</t>
        </is>
      </c>
      <c r="C34" s="20">
        <f>D31+E31+F31</f>
        <v/>
      </c>
    </row>
    <row r="35">
      <c r="B35" s="19" t="inlineStr">
        <is>
          <t>Coverage (cases)</t>
        </is>
      </c>
      <c r="C35" s="20">
        <f>C31</f>
        <v/>
      </c>
    </row>
  </sheetData>
  <mergeCells count="1">
    <mergeCell ref="B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6" customWidth="1" min="3" max="3"/>
    <col width="42" customWidth="1" min="4" max="4"/>
    <col width="9" customWidth="1" min="5" max="5"/>
    <col width="12" customWidth="1" min="6" max="6"/>
    <col width="22" customWidth="1" min="7" max="7"/>
    <col width="9" customWidth="1" min="8" max="8"/>
    <col width="40" customWidth="1" min="9" max="9"/>
    <col width="44" customWidth="1" min="10" max="10"/>
    <col width="18" customWidth="1" min="11" max="11"/>
    <col width="12" customWidth="1" min="12" max="12"/>
    <col width="14" customWidth="1" min="13" max="13"/>
    <col width="12" customWidth="1" min="14" max="14"/>
    <col width="26" customWidth="1" min="15" max="15"/>
  </cols>
  <sheetData>
    <row r="1">
      <c r="A1" s="21" t="inlineStr">
        <is>
          <t>Case ID</t>
        </is>
      </c>
      <c r="B1" s="21" t="inlineStr">
        <is>
          <t>Module</t>
        </is>
      </c>
      <c r="C1" s="21" t="inlineStr">
        <is>
          <t>Sub-Area</t>
        </is>
      </c>
      <c r="D1" s="21" t="inlineStr">
        <is>
          <t>Title</t>
        </is>
      </c>
      <c r="E1" s="21" t="inlineStr">
        <is>
          <t>Priority</t>
        </is>
      </c>
      <c r="F1" s="21" t="inlineStr">
        <is>
          <t>Type</t>
        </is>
      </c>
      <c r="G1" s="21" t="inlineStr">
        <is>
          <t>Role / Actor</t>
        </is>
      </c>
      <c r="H1" s="21" t="inlineStr">
        <is>
          <t>Platform</t>
        </is>
      </c>
      <c r="I1" s="21" t="inlineStr">
        <is>
          <t>Preconditions</t>
        </is>
      </c>
      <c r="J1" s="21" t="inlineStr">
        <is>
          <t>Expected Result</t>
        </is>
      </c>
      <c r="K1" s="21" t="inlineStr">
        <is>
          <t>Req Ref</t>
        </is>
      </c>
      <c r="L1" s="21" t="inlineStr">
        <is>
          <t>Status</t>
        </is>
      </c>
      <c r="M1" s="21" t="inlineStr">
        <is>
          <t>Tester</t>
        </is>
      </c>
      <c r="N1" s="21" t="inlineStr">
        <is>
          <t>Date</t>
        </is>
      </c>
      <c r="O1" s="21" t="inlineStr">
        <is>
          <t>Comments</t>
        </is>
      </c>
    </row>
    <row r="2">
      <c r="A2" s="22" t="inlineStr">
        <is>
          <t>TC-AUTH-001</t>
        </is>
      </c>
      <c r="B2" s="23" t="inlineStr">
        <is>
          <t>Authentication &amp; Session</t>
        </is>
      </c>
      <c r="C2" s="23" t="inlineStr">
        <is>
          <t>Login</t>
        </is>
      </c>
      <c r="D2" s="23" t="inlineStr">
        <is>
          <t>Valid sign-in with correct credentials</t>
        </is>
      </c>
      <c r="E2" s="24" t="inlineStr">
        <is>
          <t>High</t>
        </is>
      </c>
      <c r="F2" s="23" t="inlineStr">
        <is>
          <t>Functional</t>
        </is>
      </c>
      <c r="G2" s="23" t="inlineStr">
        <is>
          <t>Any registered user</t>
        </is>
      </c>
      <c r="H2" s="23" t="inlineStr">
        <is>
          <t>Both</t>
        </is>
      </c>
      <c r="I2" s="23" t="inlineStr">
        <is>
          <t>User account exists and is active; tenant is activated.</t>
        </is>
      </c>
      <c r="J2" s="23" t="inlineStr">
        <is>
          <t>User is authenticated and lands on their role home screen.</t>
        </is>
      </c>
      <c r="K2" s="23" t="inlineStr">
        <is>
          <t>REQ-SEC-Login</t>
        </is>
      </c>
      <c r="L2" s="25" t="inlineStr">
        <is>
          <t>Not Run</t>
        </is>
      </c>
      <c r="M2" s="23" t="inlineStr"/>
      <c r="N2" s="23" t="inlineStr"/>
      <c r="O2" s="23" t="inlineStr"/>
    </row>
    <row r="3">
      <c r="A3" s="26" t="inlineStr">
        <is>
          <t>TC-AUTH-002</t>
        </is>
      </c>
      <c r="B3" s="27" t="inlineStr">
        <is>
          <t>Authentication &amp; Session</t>
        </is>
      </c>
      <c r="C3" s="27" t="inlineStr">
        <is>
          <t>Login</t>
        </is>
      </c>
      <c r="D3" s="27" t="inlineStr">
        <is>
          <t>Reject invalid password</t>
        </is>
      </c>
      <c r="E3" s="24" t="inlineStr">
        <is>
          <t>High</t>
        </is>
      </c>
      <c r="F3" s="27" t="inlineStr">
        <is>
          <t>Negative</t>
        </is>
      </c>
      <c r="G3" s="27" t="inlineStr">
        <is>
          <t>Any user</t>
        </is>
      </c>
      <c r="H3" s="27" t="inlineStr">
        <is>
          <t>Both</t>
        </is>
      </c>
      <c r="I3" s="27" t="inlineStr">
        <is>
          <t>Account exists.</t>
        </is>
      </c>
      <c r="J3" s="27" t="inlineStr">
        <is>
          <t>Sign-in is refused with a generic error; no token issued.</t>
        </is>
      </c>
      <c r="K3" s="27" t="inlineStr">
        <is>
          <t>REQ-SEC-Login</t>
        </is>
      </c>
      <c r="L3" s="28" t="inlineStr">
        <is>
          <t>Not Run</t>
        </is>
      </c>
      <c r="M3" s="27" t="inlineStr"/>
      <c r="N3" s="27" t="inlineStr"/>
      <c r="O3" s="27" t="inlineStr"/>
    </row>
    <row r="4">
      <c r="A4" s="22" t="inlineStr">
        <is>
          <t>TC-AUTH-003</t>
        </is>
      </c>
      <c r="B4" s="23" t="inlineStr">
        <is>
          <t>Authentication &amp; Session</t>
        </is>
      </c>
      <c r="C4" s="23" t="inlineStr">
        <is>
          <t>Lockout</t>
        </is>
      </c>
      <c r="D4" s="23" t="inlineStr">
        <is>
          <t>Account protection after repeated failures</t>
        </is>
      </c>
      <c r="E4" s="29" t="inlineStr">
        <is>
          <t>Medium</t>
        </is>
      </c>
      <c r="F4" s="23" t="inlineStr">
        <is>
          <t>Security</t>
        </is>
      </c>
      <c r="G4" s="23" t="inlineStr">
        <is>
          <t>Any user</t>
        </is>
      </c>
      <c r="H4" s="23" t="inlineStr">
        <is>
          <t>Web</t>
        </is>
      </c>
      <c r="I4" s="23" t="inlineStr">
        <is>
          <t>Account exists; lockout policy configured.</t>
        </is>
      </c>
      <c r="J4" s="23" t="inlineStr">
        <is>
          <t>Account is temporarily locked / throttled after the configured number of failures.</t>
        </is>
      </c>
      <c r="K4" s="23" t="inlineStr">
        <is>
          <t>REQ-SEC-Policy</t>
        </is>
      </c>
      <c r="L4" s="25" t="inlineStr">
        <is>
          <t>Not Run</t>
        </is>
      </c>
      <c r="M4" s="23" t="inlineStr"/>
      <c r="N4" s="23" t="inlineStr"/>
      <c r="O4" s="23" t="inlineStr"/>
    </row>
    <row r="5">
      <c r="A5" s="26" t="inlineStr">
        <is>
          <t>TC-AUTH-004</t>
        </is>
      </c>
      <c r="B5" s="27" t="inlineStr">
        <is>
          <t>Authentication &amp; Session</t>
        </is>
      </c>
      <c r="C5" s="27" t="inlineStr">
        <is>
          <t>MFA</t>
        </is>
      </c>
      <c r="D5" s="27" t="inlineStr">
        <is>
          <t>Mandatory MFA enrolment</t>
        </is>
      </c>
      <c r="E5" s="24" t="inlineStr">
        <is>
          <t>High</t>
        </is>
      </c>
      <c r="F5" s="27" t="inlineStr">
        <is>
          <t>Functional</t>
        </is>
      </c>
      <c r="G5" s="27" t="inlineStr">
        <is>
          <t>User where policy requires MFA</t>
        </is>
      </c>
      <c r="H5" s="27" t="inlineStr">
        <is>
          <t>Both</t>
        </is>
      </c>
      <c r="I5" s="27" t="inlineStr">
        <is>
          <t>Security policy mfaRequired = true; user has no MFA yet.</t>
        </is>
      </c>
      <c r="J5" s="27" t="inlineStr">
        <is>
          <t>User is forced to enrol MFA before reaching the app.</t>
        </is>
      </c>
      <c r="K5" s="27" t="inlineStr">
        <is>
          <t>REQ-SEC-MFA</t>
        </is>
      </c>
      <c r="L5" s="28" t="inlineStr">
        <is>
          <t>Not Run</t>
        </is>
      </c>
      <c r="M5" s="27" t="inlineStr"/>
      <c r="N5" s="27" t="inlineStr"/>
      <c r="O5" s="27" t="inlineStr"/>
    </row>
    <row r="6">
      <c r="A6" s="22" t="inlineStr">
        <is>
          <t>TC-AUTH-005</t>
        </is>
      </c>
      <c r="B6" s="23" t="inlineStr">
        <is>
          <t>Authentication &amp; Session</t>
        </is>
      </c>
      <c r="C6" s="23" t="inlineStr">
        <is>
          <t>MFA</t>
        </is>
      </c>
      <c r="D6" s="23" t="inlineStr">
        <is>
          <t>MFA challenge on login</t>
        </is>
      </c>
      <c r="E6" s="24" t="inlineStr">
        <is>
          <t>High</t>
        </is>
      </c>
      <c r="F6" s="23" t="inlineStr">
        <is>
          <t>Functional</t>
        </is>
      </c>
      <c r="G6" s="23" t="inlineStr">
        <is>
          <t>MFA-enrolled user</t>
        </is>
      </c>
      <c r="H6" s="23" t="inlineStr">
        <is>
          <t>Both</t>
        </is>
      </c>
      <c r="I6" s="23" t="inlineStr">
        <is>
          <t>User already enrolled in MFA.</t>
        </is>
      </c>
      <c r="J6" s="23" t="inlineStr">
        <is>
          <t>Login requires a valid TOTP; wrong codes rejected.</t>
        </is>
      </c>
      <c r="K6" s="23" t="inlineStr">
        <is>
          <t>REQ-SEC-MFA</t>
        </is>
      </c>
      <c r="L6" s="25" t="inlineStr">
        <is>
          <t>Not Run</t>
        </is>
      </c>
      <c r="M6" s="23" t="inlineStr"/>
      <c r="N6" s="23" t="inlineStr"/>
      <c r="O6" s="23" t="inlineStr"/>
    </row>
    <row r="7">
      <c r="A7" s="26" t="inlineStr">
        <is>
          <t>TC-AUTH-006</t>
        </is>
      </c>
      <c r="B7" s="27" t="inlineStr">
        <is>
          <t>Authentication &amp; Session</t>
        </is>
      </c>
      <c r="C7" s="27" t="inlineStr">
        <is>
          <t>Password</t>
        </is>
      </c>
      <c r="D7" s="27" t="inlineStr">
        <is>
          <t>Forced password change on expiry</t>
        </is>
      </c>
      <c r="E7" s="29" t="inlineStr">
        <is>
          <t>Medium</t>
        </is>
      </c>
      <c r="F7" s="27" t="inlineStr">
        <is>
          <t>Functional</t>
        </is>
      </c>
      <c r="G7" s="27" t="inlineStr">
        <is>
          <t>User with expired password</t>
        </is>
      </c>
      <c r="H7" s="27" t="inlineStr">
        <is>
          <t>Both</t>
        </is>
      </c>
      <c r="I7" s="27" t="inlineStr">
        <is>
          <t>passwordChangedAt older than policy max age.</t>
        </is>
      </c>
      <c r="J7" s="27" t="inlineStr">
        <is>
          <t>User must set a new password before continuing.</t>
        </is>
      </c>
      <c r="K7" s="27" t="inlineStr">
        <is>
          <t>REQ-SEC-Policy</t>
        </is>
      </c>
      <c r="L7" s="28" t="inlineStr">
        <is>
          <t>Not Run</t>
        </is>
      </c>
      <c r="M7" s="27" t="inlineStr"/>
      <c r="N7" s="27" t="inlineStr"/>
      <c r="O7" s="27" t="inlineStr"/>
    </row>
    <row r="8">
      <c r="A8" s="22" t="inlineStr">
        <is>
          <t>TC-AUTH-007</t>
        </is>
      </c>
      <c r="B8" s="23" t="inlineStr">
        <is>
          <t>Authentication &amp; Session</t>
        </is>
      </c>
      <c r="C8" s="23" t="inlineStr">
        <is>
          <t>Session</t>
        </is>
      </c>
      <c r="D8" s="23" t="inlineStr">
        <is>
          <t>Remember-me persists session</t>
        </is>
      </c>
      <c r="E8" s="30" t="inlineStr">
        <is>
          <t>Low</t>
        </is>
      </c>
      <c r="F8" s="23" t="inlineStr">
        <is>
          <t>Functional</t>
        </is>
      </c>
      <c r="G8" s="23" t="inlineStr">
        <is>
          <t>Any user</t>
        </is>
      </c>
      <c r="H8" s="23" t="inlineStr">
        <is>
          <t>Mobile</t>
        </is>
      </c>
      <c r="I8" s="23" t="inlineStr">
        <is>
          <t>User signs in with remember = true.</t>
        </is>
      </c>
      <c r="J8" s="23" t="inlineStr">
        <is>
          <t>Session restored on next app open without re-login.</t>
        </is>
      </c>
      <c r="K8" s="23" t="inlineStr">
        <is>
          <t>REQ-SEC-Login</t>
        </is>
      </c>
      <c r="L8" s="25" t="inlineStr">
        <is>
          <t>Not Run</t>
        </is>
      </c>
      <c r="M8" s="23" t="inlineStr"/>
      <c r="N8" s="23" t="inlineStr"/>
      <c r="O8" s="23" t="inlineStr"/>
    </row>
    <row r="9">
      <c r="A9" s="26" t="inlineStr">
        <is>
          <t>TC-AUTH-008</t>
        </is>
      </c>
      <c r="B9" s="27" t="inlineStr">
        <is>
          <t>Authentication &amp; Session</t>
        </is>
      </c>
      <c r="C9" s="27" t="inlineStr">
        <is>
          <t>Session</t>
        </is>
      </c>
      <c r="D9" s="27" t="inlineStr">
        <is>
          <t>Logout invalidates session</t>
        </is>
      </c>
      <c r="E9" s="24" t="inlineStr">
        <is>
          <t>High</t>
        </is>
      </c>
      <c r="F9" s="27" t="inlineStr">
        <is>
          <t>Security</t>
        </is>
      </c>
      <c r="G9" s="27" t="inlineStr">
        <is>
          <t>Any user</t>
        </is>
      </c>
      <c r="H9" s="27" t="inlineStr">
        <is>
          <t>Both</t>
        </is>
      </c>
      <c r="I9" s="27" t="inlineStr">
        <is>
          <t>User is signed in.</t>
        </is>
      </c>
      <c r="J9" s="27" t="inlineStr">
        <is>
          <t>Session ends and protected routes are inaccessible.</t>
        </is>
      </c>
      <c r="K9" s="27" t="inlineStr">
        <is>
          <t>REQ-SEC-Login</t>
        </is>
      </c>
      <c r="L9" s="28" t="inlineStr">
        <is>
          <t>Not Run</t>
        </is>
      </c>
      <c r="M9" s="27" t="inlineStr"/>
      <c r="N9" s="27" t="inlineStr"/>
      <c r="O9" s="27" t="inlineStr"/>
    </row>
    <row r="10">
      <c r="A10" s="22" t="inlineStr">
        <is>
          <t>TC-AUTH-009</t>
        </is>
      </c>
      <c r="B10" s="23" t="inlineStr">
        <is>
          <t>Authentication &amp; Session</t>
        </is>
      </c>
      <c r="C10" s="23" t="inlineStr">
        <is>
          <t>Biometric</t>
        </is>
      </c>
      <c r="D10" s="23" t="inlineStr">
        <is>
          <t>Biometric unlock on mobile</t>
        </is>
      </c>
      <c r="E10" s="30" t="inlineStr">
        <is>
          <t>Low</t>
        </is>
      </c>
      <c r="F10" s="23" t="inlineStr">
        <is>
          <t>Functional</t>
        </is>
      </c>
      <c r="G10" s="23" t="inlineStr">
        <is>
          <t>Mobile user with biometrics</t>
        </is>
      </c>
      <c r="H10" s="23" t="inlineStr">
        <is>
          <t>Mobile</t>
        </is>
      </c>
      <c r="I10" s="23" t="inlineStr">
        <is>
          <t>Device has enrolled biometrics; prior remembered session.</t>
        </is>
      </c>
      <c r="J10" s="23" t="inlineStr">
        <is>
          <t>Biometric success restores the session.</t>
        </is>
      </c>
      <c r="K10" s="23" t="inlineStr">
        <is>
          <t>REQ-Mobile-Biometric</t>
        </is>
      </c>
      <c r="L10" s="25" t="inlineStr">
        <is>
          <t>Not Run</t>
        </is>
      </c>
      <c r="M10" s="23" t="inlineStr"/>
      <c r="N10" s="23" t="inlineStr"/>
      <c r="O10" s="23" t="inlineStr"/>
    </row>
    <row r="11">
      <c r="A11" s="26" t="inlineStr">
        <is>
          <t>TC-AUTH-010</t>
        </is>
      </c>
      <c r="B11" s="27" t="inlineStr">
        <is>
          <t>Authentication &amp; Session</t>
        </is>
      </c>
      <c r="C11" s="27" t="inlineStr">
        <is>
          <t>Password</t>
        </is>
      </c>
      <c r="D11" s="27" t="inlineStr">
        <is>
          <t>Self-service password reset</t>
        </is>
      </c>
      <c r="E11" s="29" t="inlineStr">
        <is>
          <t>Medium</t>
        </is>
      </c>
      <c r="F11" s="27" t="inlineStr">
        <is>
          <t>Functional</t>
        </is>
      </c>
      <c r="G11" s="27" t="inlineStr">
        <is>
          <t>Any user</t>
        </is>
      </c>
      <c r="H11" s="27" t="inlineStr">
        <is>
          <t>Web</t>
        </is>
      </c>
      <c r="I11" s="27" t="inlineStr">
        <is>
          <t>Account exists with a valid email.</t>
        </is>
      </c>
      <c r="J11" s="27" t="inlineStr">
        <is>
          <t>Reset link path works and old password no longer authenticates.</t>
        </is>
      </c>
      <c r="K11" s="27" t="inlineStr">
        <is>
          <t>REQ-SEC-Login</t>
        </is>
      </c>
      <c r="L11" s="28" t="inlineStr">
        <is>
          <t>Not Run</t>
        </is>
      </c>
      <c r="M11" s="27" t="inlineStr"/>
      <c r="N11" s="27" t="inlineStr"/>
      <c r="O11" s="27" t="inlineStr"/>
    </row>
    <row r="12">
      <c r="A12" s="22" t="inlineStr">
        <is>
          <t>TC-RBAC-001</t>
        </is>
      </c>
      <c r="B12" s="23" t="inlineStr">
        <is>
          <t>Roles, Permissions &amp; Isolation</t>
        </is>
      </c>
      <c r="C12" s="23" t="inlineStr">
        <is>
          <t>Menu</t>
        </is>
      </c>
      <c r="D12" s="23" t="inlineStr">
        <is>
          <t>Role-appropriate navigation</t>
        </is>
      </c>
      <c r="E12" s="24" t="inlineStr">
        <is>
          <t>High</t>
        </is>
      </c>
      <c r="F12" s="23" t="inlineStr">
        <is>
          <t>RBAC</t>
        </is>
      </c>
      <c r="G12" s="23" t="inlineStr">
        <is>
          <t>School Administrator</t>
        </is>
      </c>
      <c r="H12" s="23" t="inlineStr">
        <is>
          <t>Web</t>
        </is>
      </c>
      <c r="I12" s="23" t="inlineStr">
        <is>
          <t>User holds SchoolAdministrator role.</t>
        </is>
      </c>
      <c r="J12" s="23" t="inlineStr">
        <is>
          <t>Only permitted sections are visible.</t>
        </is>
      </c>
      <c r="K12" s="23" t="inlineStr">
        <is>
          <t>REQ-RBAC-Menu</t>
        </is>
      </c>
      <c r="L12" s="25" t="inlineStr">
        <is>
          <t>Not Run</t>
        </is>
      </c>
      <c r="M12" s="23" t="inlineStr"/>
      <c r="N12" s="23" t="inlineStr"/>
      <c r="O12" s="23" t="inlineStr"/>
    </row>
    <row r="13">
      <c r="A13" s="26" t="inlineStr">
        <is>
          <t>TC-RBAC-002</t>
        </is>
      </c>
      <c r="B13" s="27" t="inlineStr">
        <is>
          <t>Roles, Permissions &amp; Isolation</t>
        </is>
      </c>
      <c r="C13" s="27" t="inlineStr">
        <is>
          <t>Enforcement</t>
        </is>
      </c>
      <c r="D13" s="27" t="inlineStr">
        <is>
          <t>Deny unauthorized route access</t>
        </is>
      </c>
      <c r="E13" s="24" t="inlineStr">
        <is>
          <t>High</t>
        </is>
      </c>
      <c r="F13" s="27" t="inlineStr">
        <is>
          <t>Security</t>
        </is>
      </c>
      <c r="G13" s="27" t="inlineStr">
        <is>
          <t>Low-privilege user</t>
        </is>
      </c>
      <c r="H13" s="27" t="inlineStr">
        <is>
          <t>Both</t>
        </is>
      </c>
      <c r="I13" s="27" t="inlineStr">
        <is>
          <t>User lacks the target permission.</t>
        </is>
      </c>
      <c r="J13" s="27" t="inlineStr">
        <is>
          <t>Direct navigation to a protected route is blocked.</t>
        </is>
      </c>
      <c r="K13" s="27" t="inlineStr">
        <is>
          <t>REQ-RBAC-Enforce</t>
        </is>
      </c>
      <c r="L13" s="28" t="inlineStr">
        <is>
          <t>Not Run</t>
        </is>
      </c>
      <c r="M13" s="27" t="inlineStr"/>
      <c r="N13" s="27" t="inlineStr"/>
      <c r="O13" s="27" t="inlineStr"/>
    </row>
    <row r="14">
      <c r="A14" s="22" t="inlineStr">
        <is>
          <t>TC-RBAC-003</t>
        </is>
      </c>
      <c r="B14" s="23" t="inlineStr">
        <is>
          <t>Roles, Permissions &amp; Isolation</t>
        </is>
      </c>
      <c r="C14" s="23" t="inlineStr">
        <is>
          <t>Override</t>
        </is>
      </c>
      <c r="D14" s="23" t="inlineStr">
        <is>
          <t>Tenant role override grants access</t>
        </is>
      </c>
      <c r="E14" s="29" t="inlineStr">
        <is>
          <t>Medium</t>
        </is>
      </c>
      <c r="F14" s="23" t="inlineStr">
        <is>
          <t>RBAC</t>
        </is>
      </c>
      <c r="G14" s="23" t="inlineStr">
        <is>
          <t>Custom tenant role</t>
        </is>
      </c>
      <c r="H14" s="23" t="inlineStr">
        <is>
          <t>Web</t>
        </is>
      </c>
      <c r="I14" s="23" t="inlineStr">
        <is>
          <t>Tenant defines a TenantRole override adding a permission.</t>
        </is>
      </c>
      <c r="J14" s="23" t="inlineStr">
        <is>
          <t>The override is honoured at runtime.</t>
        </is>
      </c>
      <c r="K14" s="23" t="inlineStr">
        <is>
          <t>REQ-RBAC-Override</t>
        </is>
      </c>
      <c r="L14" s="25" t="inlineStr">
        <is>
          <t>Not Run</t>
        </is>
      </c>
      <c r="M14" s="23" t="inlineStr"/>
      <c r="N14" s="23" t="inlineStr"/>
      <c r="O14" s="23" t="inlineStr"/>
    </row>
    <row r="15">
      <c r="A15" s="26" t="inlineStr">
        <is>
          <t>TC-RBAC-004</t>
        </is>
      </c>
      <c r="B15" s="27" t="inlineStr">
        <is>
          <t>Roles, Permissions &amp; Isolation</t>
        </is>
      </c>
      <c r="C15" s="27" t="inlineStr">
        <is>
          <t>Platform</t>
        </is>
      </c>
      <c r="D15" s="27" t="inlineStr">
        <is>
          <t>Platform-admin plane access</t>
        </is>
      </c>
      <c r="E15" s="24" t="inlineStr">
        <is>
          <t>High</t>
        </is>
      </c>
      <c r="F15" s="27" t="inlineStr">
        <is>
          <t>RBAC</t>
        </is>
      </c>
      <c r="G15" s="27" t="inlineStr">
        <is>
          <t>Platform admin</t>
        </is>
      </c>
      <c r="H15" s="27" t="inlineStr">
        <is>
          <t>Web</t>
        </is>
      </c>
      <c r="I15" s="27" t="inlineStr">
        <is>
          <t>User is a platform admin.</t>
        </is>
      </c>
      <c r="J15" s="27" t="inlineStr">
        <is>
          <t>Platform staff areas are reachable; tenant users cannot reach them.</t>
        </is>
      </c>
      <c r="K15" s="27" t="inlineStr">
        <is>
          <t>REQ-RBAC-Platform</t>
        </is>
      </c>
      <c r="L15" s="28" t="inlineStr">
        <is>
          <t>Not Run</t>
        </is>
      </c>
      <c r="M15" s="27" t="inlineStr"/>
      <c r="N15" s="27" t="inlineStr"/>
      <c r="O15" s="27" t="inlineStr"/>
    </row>
    <row r="16">
      <c r="A16" s="22" t="inlineStr">
        <is>
          <t>TC-RBAC-005</t>
        </is>
      </c>
      <c r="B16" s="23" t="inlineStr">
        <is>
          <t>Roles, Permissions &amp; Isolation</t>
        </is>
      </c>
      <c r="C16" s="23" t="inlineStr">
        <is>
          <t>Isolation</t>
        </is>
      </c>
      <c r="D16" s="23" t="inlineStr">
        <is>
          <t>Cross-tenant access is blocked</t>
        </is>
      </c>
      <c r="E16" s="24" t="inlineStr">
        <is>
          <t>High</t>
        </is>
      </c>
      <c r="F16" s="23" t="inlineStr">
        <is>
          <t>Security</t>
        </is>
      </c>
      <c r="G16" s="23" t="inlineStr">
        <is>
          <t>School Admin of Tenant A</t>
        </is>
      </c>
      <c r="H16" s="23" t="inlineStr">
        <is>
          <t>Both</t>
        </is>
      </c>
      <c r="I16" s="23" t="inlineStr">
        <is>
          <t>Two tenants A and B exist.</t>
        </is>
      </c>
      <c r="J16" s="23" t="inlineStr">
        <is>
          <t>Tenant A user cannot read Tenant B data.</t>
        </is>
      </c>
      <c r="K16" s="23" t="inlineStr">
        <is>
          <t>REQ-SEC-Isolation</t>
        </is>
      </c>
      <c r="L16" s="25" t="inlineStr">
        <is>
          <t>Not Run</t>
        </is>
      </c>
      <c r="M16" s="23" t="inlineStr"/>
      <c r="N16" s="23" t="inlineStr"/>
      <c r="O16" s="23" t="inlineStr"/>
    </row>
    <row r="17">
      <c r="A17" s="26" t="inlineStr">
        <is>
          <t>TC-RBAC-006</t>
        </is>
      </c>
      <c r="B17" s="27" t="inlineStr">
        <is>
          <t>Roles, Permissions &amp; Isolation</t>
        </is>
      </c>
      <c r="C17" s="27" t="inlineStr">
        <is>
          <t>Staff area</t>
        </is>
      </c>
      <c r="D17" s="27" t="inlineStr">
        <is>
          <t>Staff-area gate enforced</t>
        </is>
      </c>
      <c r="E17" s="29" t="inlineStr">
        <is>
          <t>Medium</t>
        </is>
      </c>
      <c r="F17" s="27" t="inlineStr">
        <is>
          <t>RBAC</t>
        </is>
      </c>
      <c r="G17" s="27" t="inlineStr">
        <is>
          <t>Support staff</t>
        </is>
      </c>
      <c r="H17" s="27" t="inlineStr">
        <is>
          <t>Web</t>
        </is>
      </c>
      <c r="I17" s="27" t="inlineStr">
        <is>
          <t>assertStaffArea protects a staff-only area.</t>
        </is>
      </c>
      <c r="J17" s="27" t="inlineStr">
        <is>
          <t>Only staff-area members may enter.</t>
        </is>
      </c>
      <c r="K17" s="27" t="inlineStr">
        <is>
          <t>REQ-RBAC-Enforce</t>
        </is>
      </c>
      <c r="L17" s="28" t="inlineStr">
        <is>
          <t>Not Run</t>
        </is>
      </c>
      <c r="M17" s="27" t="inlineStr"/>
      <c r="N17" s="27" t="inlineStr"/>
      <c r="O17" s="27" t="inlineStr"/>
    </row>
    <row r="18">
      <c r="A18" s="22" t="inlineStr">
        <is>
          <t>TC-AM-001</t>
        </is>
      </c>
      <c r="B18" s="23" t="inlineStr">
        <is>
          <t>Account Manager Scoping</t>
        </is>
      </c>
      <c r="C18" s="23" t="inlineStr">
        <is>
          <t>Scope</t>
        </is>
      </c>
      <c r="D18" s="23" t="inlineStr">
        <is>
          <t>AM sees only in-scope schools (geo)</t>
        </is>
      </c>
      <c r="E18" s="24" t="inlineStr">
        <is>
          <t>High</t>
        </is>
      </c>
      <c r="F18" s="23" t="inlineStr">
        <is>
          <t>RBAC</t>
        </is>
      </c>
      <c r="G18" s="23" t="inlineStr">
        <is>
          <t>Account Manager</t>
        </is>
      </c>
      <c r="H18" s="23" t="inlineStr">
        <is>
          <t>Web</t>
        </is>
      </c>
      <c r="I18" s="23" t="inlineStr">
        <is>
          <t>AM has a county/country portfolio scope.</t>
        </is>
      </c>
      <c r="J18" s="23" t="inlineStr">
        <is>
          <t>School list is limited to the geographic scope.</t>
        </is>
      </c>
      <c r="K18" s="23" t="inlineStr">
        <is>
          <t>REQ-AM-Scope</t>
        </is>
      </c>
      <c r="L18" s="25" t="inlineStr">
        <is>
          <t>Not Run</t>
        </is>
      </c>
      <c r="M18" s="23" t="inlineStr"/>
      <c r="N18" s="23" t="inlineStr"/>
      <c r="O18" s="23" t="inlineStr"/>
    </row>
    <row r="19">
      <c r="A19" s="26" t="inlineStr">
        <is>
          <t>TC-AM-002</t>
        </is>
      </c>
      <c r="B19" s="27" t="inlineStr">
        <is>
          <t>Account Manager Scoping</t>
        </is>
      </c>
      <c r="C19" s="27" t="inlineStr">
        <is>
          <t>Scope</t>
        </is>
      </c>
      <c r="D19" s="27" t="inlineStr">
        <is>
          <t>AM explicit school assignment</t>
        </is>
      </c>
      <c r="E19" s="24" t="inlineStr">
        <is>
          <t>High</t>
        </is>
      </c>
      <c r="F19" s="27" t="inlineStr">
        <is>
          <t>RBAC</t>
        </is>
      </c>
      <c r="G19" s="27" t="inlineStr">
        <is>
          <t>Account Manager</t>
        </is>
      </c>
      <c r="H19" s="27" t="inlineStr">
        <is>
          <t>Web</t>
        </is>
      </c>
      <c r="I19" s="27" t="inlineStr">
        <is>
          <t>A school has accountManagerUserId = this AM but is outside geo scope.</t>
        </is>
      </c>
      <c r="J19" s="27" t="inlineStr">
        <is>
          <t>Explicitly assigned school is included.</t>
        </is>
      </c>
      <c r="K19" s="27" t="inlineStr">
        <is>
          <t>REQ-AM-Scope</t>
        </is>
      </c>
      <c r="L19" s="28" t="inlineStr">
        <is>
          <t>Not Run</t>
        </is>
      </c>
      <c r="M19" s="27" t="inlineStr"/>
      <c r="N19" s="27" t="inlineStr"/>
      <c r="O19" s="27" t="inlineStr"/>
    </row>
    <row r="20">
      <c r="A20" s="22" t="inlineStr">
        <is>
          <t>TC-AM-003</t>
        </is>
      </c>
      <c r="B20" s="23" t="inlineStr">
        <is>
          <t>Account Manager Scoping</t>
        </is>
      </c>
      <c r="C20" s="23" t="inlineStr">
        <is>
          <t>Scope</t>
        </is>
      </c>
      <c r="D20" s="23" t="inlineStr">
        <is>
          <t>Out-of-scope sub-route blocked</t>
        </is>
      </c>
      <c r="E20" s="24" t="inlineStr">
        <is>
          <t>High</t>
        </is>
      </c>
      <c r="F20" s="23" t="inlineStr">
        <is>
          <t>Security</t>
        </is>
      </c>
      <c r="G20" s="23" t="inlineStr">
        <is>
          <t>Account Manager</t>
        </is>
      </c>
      <c r="H20" s="23" t="inlineStr">
        <is>
          <t>Web</t>
        </is>
      </c>
      <c r="I20" s="23" t="inlineStr">
        <is>
          <t>A school is neither in geo scope nor explicitly assigned.</t>
        </is>
      </c>
      <c r="J20" s="23" t="inlineStr">
        <is>
          <t>AM cannot access that school's sub-routes.</t>
        </is>
      </c>
      <c r="K20" s="23" t="inlineStr">
        <is>
          <t>REQ-AM-Scope</t>
        </is>
      </c>
      <c r="L20" s="25" t="inlineStr">
        <is>
          <t>Not Run</t>
        </is>
      </c>
      <c r="M20" s="23" t="inlineStr"/>
      <c r="N20" s="23" t="inlineStr"/>
      <c r="O20" s="23" t="inlineStr"/>
    </row>
    <row r="21">
      <c r="A21" s="26" t="inlineStr">
        <is>
          <t>TC-AM-004</t>
        </is>
      </c>
      <c r="B21" s="27" t="inlineStr">
        <is>
          <t>Account Manager Scoping</t>
        </is>
      </c>
      <c r="C21" s="27" t="inlineStr">
        <is>
          <t>Scope</t>
        </is>
      </c>
      <c r="D21" s="27" t="inlineStr">
        <is>
          <t>Scoped school-id set correctness</t>
        </is>
      </c>
      <c r="E21" s="29" t="inlineStr">
        <is>
          <t>Medium</t>
        </is>
      </c>
      <c r="F21" s="27" t="inlineStr">
        <is>
          <t>Functional</t>
        </is>
      </c>
      <c r="G21" s="27" t="inlineStr">
        <is>
          <t>Account Manager</t>
        </is>
      </c>
      <c r="H21" s="27" t="inlineStr">
        <is>
          <t>Web</t>
        </is>
      </c>
      <c r="I21" s="27" t="inlineStr">
        <is>
          <t>Mixed in/out-of-scope schools exist.</t>
        </is>
      </c>
      <c r="J21" s="27" t="inlineStr">
        <is>
          <t>ctx.scopedSchoolIds equals geo ∪ explicit.</t>
        </is>
      </c>
      <c r="K21" s="27" t="inlineStr">
        <is>
          <t>REQ-AM-Scope</t>
        </is>
      </c>
      <c r="L21" s="28" t="inlineStr">
        <is>
          <t>Not Run</t>
        </is>
      </c>
      <c r="M21" s="27" t="inlineStr"/>
      <c r="N21" s="27" t="inlineStr"/>
      <c r="O21" s="27" t="inlineStr"/>
    </row>
    <row r="22">
      <c r="A22" s="22" t="inlineStr">
        <is>
          <t>TC-SADM-001</t>
        </is>
      </c>
      <c r="B22" s="23" t="inlineStr">
        <is>
          <t>Super-Admin / Platform Mgmt</t>
        </is>
      </c>
      <c r="C22" s="23" t="inlineStr">
        <is>
          <t>Schools</t>
        </is>
      </c>
      <c r="D22" s="23" t="inlineStr">
        <is>
          <t>School list view</t>
        </is>
      </c>
      <c r="E22" s="29" t="inlineStr">
        <is>
          <t>Medium</t>
        </is>
      </c>
      <c r="F22" s="23" t="inlineStr">
        <is>
          <t>Functional</t>
        </is>
      </c>
      <c r="G22" s="23" t="inlineStr">
        <is>
          <t>Super Admin</t>
        </is>
      </c>
      <c r="H22" s="23" t="inlineStr">
        <is>
          <t>Web</t>
        </is>
      </c>
      <c r="I22" s="23" t="inlineStr">
        <is>
          <t>Multiple tenants exist.</t>
        </is>
      </c>
      <c r="J22" s="23" t="inlineStr">
        <is>
          <t>All schools listed with key status columns.</t>
        </is>
      </c>
      <c r="K22" s="23" t="inlineStr">
        <is>
          <t>REQ-SA-Schools</t>
        </is>
      </c>
      <c r="L22" s="25" t="inlineStr">
        <is>
          <t>Not Run</t>
        </is>
      </c>
      <c r="M22" s="23" t="inlineStr"/>
      <c r="N22" s="23" t="inlineStr"/>
      <c r="O22" s="23" t="inlineStr"/>
    </row>
    <row r="23">
      <c r="A23" s="26" t="inlineStr">
        <is>
          <t>TC-SADM-002</t>
        </is>
      </c>
      <c r="B23" s="27" t="inlineStr">
        <is>
          <t>Super-Admin / Platform Mgmt</t>
        </is>
      </c>
      <c r="C23" s="27" t="inlineStr">
        <is>
          <t>Detail</t>
        </is>
      </c>
      <c r="D23" s="27" t="inlineStr">
        <is>
          <t>School detail view</t>
        </is>
      </c>
      <c r="E23" s="29" t="inlineStr">
        <is>
          <t>Medium</t>
        </is>
      </c>
      <c r="F23" s="27" t="inlineStr">
        <is>
          <t>Functional</t>
        </is>
      </c>
      <c r="G23" s="27" t="inlineStr">
        <is>
          <t>Super Admin</t>
        </is>
      </c>
      <c r="H23" s="27" t="inlineStr">
        <is>
          <t>Web</t>
        </is>
      </c>
      <c r="I23" s="27" t="inlineStr">
        <is>
          <t>A school exists.</t>
        </is>
      </c>
      <c r="J23" s="27" t="inlineStr">
        <is>
          <t>Detail view shows profile, commercial and activation information.</t>
        </is>
      </c>
      <c r="K23" s="27" t="inlineStr">
        <is>
          <t>REQ-SA-Schools</t>
        </is>
      </c>
      <c r="L23" s="28" t="inlineStr">
        <is>
          <t>Not Run</t>
        </is>
      </c>
      <c r="M23" s="27" t="inlineStr"/>
      <c r="N23" s="27" t="inlineStr"/>
      <c r="O23" s="27" t="inlineStr"/>
    </row>
    <row r="24">
      <c r="A24" s="22" t="inlineStr">
        <is>
          <t>TC-SADM-003</t>
        </is>
      </c>
      <c r="B24" s="23" t="inlineStr">
        <is>
          <t>Super-Admin / Platform Mgmt</t>
        </is>
      </c>
      <c r="C24" s="23" t="inlineStr">
        <is>
          <t>Actions</t>
        </is>
      </c>
      <c r="D24" s="23" t="inlineStr">
        <is>
          <t>Row action (3-dot) menu</t>
        </is>
      </c>
      <c r="E24" s="29" t="inlineStr">
        <is>
          <t>Medium</t>
        </is>
      </c>
      <c r="F24" s="23" t="inlineStr">
        <is>
          <t>Functional</t>
        </is>
      </c>
      <c r="G24" s="23" t="inlineStr">
        <is>
          <t>Super Admin</t>
        </is>
      </c>
      <c r="H24" s="23" t="inlineStr">
        <is>
          <t>Web</t>
        </is>
      </c>
      <c r="I24" s="23" t="inlineStr">
        <is>
          <t>A school row is visible.</t>
        </is>
      </c>
      <c r="J24" s="23" t="inlineStr">
        <is>
          <t>Contextual actions are available and function.</t>
        </is>
      </c>
      <c r="K24" s="23" t="inlineStr">
        <is>
          <t>REQ-SA-Schools</t>
        </is>
      </c>
      <c r="L24" s="25" t="inlineStr">
        <is>
          <t>Not Run</t>
        </is>
      </c>
      <c r="M24" s="23" t="inlineStr"/>
      <c r="N24" s="23" t="inlineStr"/>
      <c r="O24" s="23" t="inlineStr"/>
    </row>
    <row r="25">
      <c r="A25" s="26" t="inlineStr">
        <is>
          <t>TC-SADM-004</t>
        </is>
      </c>
      <c r="B25" s="27" t="inlineStr">
        <is>
          <t>Super-Admin / Platform Mgmt</t>
        </is>
      </c>
      <c r="C25" s="27" t="inlineStr">
        <is>
          <t>Tenant</t>
        </is>
      </c>
      <c r="D25" s="27" t="inlineStr">
        <is>
          <t>Create a new tenant/school</t>
        </is>
      </c>
      <c r="E25" s="24" t="inlineStr">
        <is>
          <t>High</t>
        </is>
      </c>
      <c r="F25" s="27" t="inlineStr">
        <is>
          <t>Functional</t>
        </is>
      </c>
      <c r="G25" s="27" t="inlineStr">
        <is>
          <t>Super Admin</t>
        </is>
      </c>
      <c r="H25" s="27" t="inlineStr">
        <is>
          <t>Web</t>
        </is>
      </c>
      <c r="I25" s="27" t="inlineStr">
        <is>
          <t>Operator has create rights.</t>
        </is>
      </c>
      <c r="J25" s="27" t="inlineStr">
        <is>
          <t>New tenant is created in pending activation state.</t>
        </is>
      </c>
      <c r="K25" s="27" t="inlineStr">
        <is>
          <t>REQ-SA-Onboard</t>
        </is>
      </c>
      <c r="L25" s="28" t="inlineStr">
        <is>
          <t>Not Run</t>
        </is>
      </c>
      <c r="M25" s="27" t="inlineStr"/>
      <c r="N25" s="27" t="inlineStr"/>
      <c r="O25" s="27" t="inlineStr"/>
    </row>
    <row r="26">
      <c r="A26" s="22" t="inlineStr">
        <is>
          <t>TC-SADM-005</t>
        </is>
      </c>
      <c r="B26" s="23" t="inlineStr">
        <is>
          <t>Super-Admin / Platform Mgmt</t>
        </is>
      </c>
      <c r="C26" s="23" t="inlineStr">
        <is>
          <t>Lifecycle</t>
        </is>
      </c>
      <c r="D26" s="23" t="inlineStr">
        <is>
          <t>Suspend and reactivate a school</t>
        </is>
      </c>
      <c r="E26" s="29" t="inlineStr">
        <is>
          <t>Medium</t>
        </is>
      </c>
      <c r="F26" s="23" t="inlineStr">
        <is>
          <t>Functional</t>
        </is>
      </c>
      <c r="G26" s="23" t="inlineStr">
        <is>
          <t>Super Admin</t>
        </is>
      </c>
      <c r="H26" s="23" t="inlineStr">
        <is>
          <t>Web</t>
        </is>
      </c>
      <c r="I26" s="23" t="inlineStr">
        <is>
          <t>An active school exists.</t>
        </is>
      </c>
      <c r="J26" s="23" t="inlineStr">
        <is>
          <t>Suspension blocks access; reactivation restores it.</t>
        </is>
      </c>
      <c r="K26" s="23" t="inlineStr">
        <is>
          <t>REQ-SA-Schools</t>
        </is>
      </c>
      <c r="L26" s="25" t="inlineStr">
        <is>
          <t>Not Run</t>
        </is>
      </c>
      <c r="M26" s="23" t="inlineStr"/>
      <c r="N26" s="23" t="inlineStr"/>
      <c r="O26" s="23" t="inlineStr"/>
    </row>
    <row r="27">
      <c r="A27" s="26" t="inlineStr">
        <is>
          <t>TC-COMM-001</t>
        </is>
      </c>
      <c r="B27" s="27" t="inlineStr">
        <is>
          <t>Commercial &amp; Purchase Orders</t>
        </is>
      </c>
      <c r="C27" s="27" t="inlineStr">
        <is>
          <t>PO</t>
        </is>
      </c>
      <c r="D27" s="27" t="inlineStr">
        <is>
          <t>Create PO with per-school × term pricing</t>
        </is>
      </c>
      <c r="E27" s="24" t="inlineStr">
        <is>
          <t>High</t>
        </is>
      </c>
      <c r="F27" s="27" t="inlineStr">
        <is>
          <t>Functional</t>
        </is>
      </c>
      <c r="G27" s="27" t="inlineStr">
        <is>
          <t>Super Admin / Account Manager</t>
        </is>
      </c>
      <c r="H27" s="27" t="inlineStr">
        <is>
          <t>Web</t>
        </is>
      </c>
      <c r="I27" s="27" t="inlineStr">
        <is>
          <t>A school and its pupil count / term config exist.</t>
        </is>
      </c>
      <c r="J27" s="27" t="inlineStr">
        <is>
          <t>PO total = per-school annual × term − discount.</t>
        </is>
      </c>
      <c r="K27" s="27" t="inlineStr">
        <is>
          <t>REQ-COMM-PO</t>
        </is>
      </c>
      <c r="L27" s="28" t="inlineStr">
        <is>
          <t>Not Run</t>
        </is>
      </c>
      <c r="M27" s="27" t="inlineStr"/>
      <c r="N27" s="27" t="inlineStr"/>
      <c r="O27" s="27" t="inlineStr"/>
    </row>
    <row r="28">
      <c r="A28" s="22" t="inlineStr">
        <is>
          <t>TC-COMM-002</t>
        </is>
      </c>
      <c r="B28" s="23" t="inlineStr">
        <is>
          <t>Commercial &amp; Purchase Orders</t>
        </is>
      </c>
      <c r="C28" s="23" t="inlineStr">
        <is>
          <t>PO</t>
        </is>
      </c>
      <c r="D28" s="23" t="inlineStr">
        <is>
          <t>Apply a discount</t>
        </is>
      </c>
      <c r="E28" s="24" t="inlineStr">
        <is>
          <t>High</t>
        </is>
      </c>
      <c r="F28" s="23" t="inlineStr">
        <is>
          <t>Functional</t>
        </is>
      </c>
      <c r="G28" s="23" t="inlineStr">
        <is>
          <t>Super Admin / Account Manager</t>
        </is>
      </c>
      <c r="H28" s="23" t="inlineStr">
        <is>
          <t>Web</t>
        </is>
      </c>
      <c r="I28" s="23" t="inlineStr">
        <is>
          <t>A PO draft exists.</t>
        </is>
      </c>
      <c r="J28" s="23" t="inlineStr">
        <is>
          <t>Discount reduces the total correctly.</t>
        </is>
      </c>
      <c r="K28" s="23" t="inlineStr">
        <is>
          <t>REQ-COMM-PO</t>
        </is>
      </c>
      <c r="L28" s="25" t="inlineStr">
        <is>
          <t>Not Run</t>
        </is>
      </c>
      <c r="M28" s="23" t="inlineStr"/>
      <c r="N28" s="23" t="inlineStr"/>
      <c r="O28" s="23" t="inlineStr"/>
    </row>
    <row r="29">
      <c r="A29" s="26" t="inlineStr">
        <is>
          <t>TC-COMM-003</t>
        </is>
      </c>
      <c r="B29" s="27" t="inlineStr">
        <is>
          <t>Commercial &amp; Purchase Orders</t>
        </is>
      </c>
      <c r="C29" s="27" t="inlineStr">
        <is>
          <t>PO</t>
        </is>
      </c>
      <c r="D29" s="27" t="inlineStr">
        <is>
          <t>PO reference generation</t>
        </is>
      </c>
      <c r="E29" s="30" t="inlineStr">
        <is>
          <t>Low</t>
        </is>
      </c>
      <c r="F29" s="27" t="inlineStr">
        <is>
          <t>Functional</t>
        </is>
      </c>
      <c r="G29" s="27" t="inlineStr">
        <is>
          <t>System</t>
        </is>
      </c>
      <c r="H29" s="27" t="inlineStr">
        <is>
          <t>Web</t>
        </is>
      </c>
      <c r="I29" s="27" t="inlineStr">
        <is>
          <t>A PO is created.</t>
        </is>
      </c>
      <c r="J29" s="27" t="inlineStr">
        <is>
          <t>A unique, well-formed PO reference is assigned.</t>
        </is>
      </c>
      <c r="K29" s="27" t="inlineStr">
        <is>
          <t>REQ-COMM-PO</t>
        </is>
      </c>
      <c r="L29" s="28" t="inlineStr">
        <is>
          <t>Not Run</t>
        </is>
      </c>
      <c r="M29" s="27" t="inlineStr"/>
      <c r="N29" s="27" t="inlineStr"/>
      <c r="O29" s="27" t="inlineStr"/>
    </row>
    <row r="30">
      <c r="A30" s="22" t="inlineStr">
        <is>
          <t>TC-COMM-004</t>
        </is>
      </c>
      <c r="B30" s="23" t="inlineStr">
        <is>
          <t>Commercial &amp; Purchase Orders</t>
        </is>
      </c>
      <c r="C30" s="23" t="inlineStr">
        <is>
          <t>PO</t>
        </is>
      </c>
      <c r="D30" s="23" t="inlineStr">
        <is>
          <t>Branded PO PDF export</t>
        </is>
      </c>
      <c r="E30" s="29" t="inlineStr">
        <is>
          <t>Medium</t>
        </is>
      </c>
      <c r="F30" s="23" t="inlineStr">
        <is>
          <t>Functional</t>
        </is>
      </c>
      <c r="G30" s="23" t="inlineStr">
        <is>
          <t>Super Admin / Account Manager</t>
        </is>
      </c>
      <c r="H30" s="23" t="inlineStr">
        <is>
          <t>Web</t>
        </is>
      </c>
      <c r="I30" s="23" t="inlineStr">
        <is>
          <t>A PO exists.</t>
        </is>
      </c>
      <c r="J30" s="23" t="inlineStr">
        <is>
          <t>A branded PDF with correct figures downloads and is audited.</t>
        </is>
      </c>
      <c r="K30" s="23" t="inlineStr">
        <is>
          <t>REQ-COMM-PO;REQ-DLG</t>
        </is>
      </c>
      <c r="L30" s="25" t="inlineStr">
        <is>
          <t>Not Run</t>
        </is>
      </c>
      <c r="M30" s="23" t="inlineStr"/>
      <c r="N30" s="23" t="inlineStr"/>
      <c r="O30" s="23" t="inlineStr"/>
    </row>
    <row r="31">
      <c r="A31" s="26" t="inlineStr">
        <is>
          <t>TC-COMM-005</t>
        </is>
      </c>
      <c r="B31" s="27" t="inlineStr">
        <is>
          <t>Commercial &amp; Purchase Orders</t>
        </is>
      </c>
      <c r="C31" s="27" t="inlineStr">
        <is>
          <t>PO</t>
        </is>
      </c>
      <c r="D31" s="27" t="inlineStr">
        <is>
          <t>PO actions</t>
        </is>
      </c>
      <c r="E31" s="29" t="inlineStr">
        <is>
          <t>Medium</t>
        </is>
      </c>
      <c r="F31" s="27" t="inlineStr">
        <is>
          <t>Functional</t>
        </is>
      </c>
      <c r="G31" s="27" t="inlineStr">
        <is>
          <t>Super Admin / Account Manager</t>
        </is>
      </c>
      <c r="H31" s="27" t="inlineStr">
        <is>
          <t>Web</t>
        </is>
      </c>
      <c r="I31" s="27" t="inlineStr">
        <is>
          <t>A PO exists in an actionable state.</t>
        </is>
      </c>
      <c r="J31" s="27" t="inlineStr">
        <is>
          <t>Approve/cancel/resend transition state and are audited.</t>
        </is>
      </c>
      <c r="K31" s="27" t="inlineStr">
        <is>
          <t>REQ-COMM-PO</t>
        </is>
      </c>
      <c r="L31" s="28" t="inlineStr">
        <is>
          <t>Not Run</t>
        </is>
      </c>
      <c r="M31" s="27" t="inlineStr"/>
      <c r="N31" s="27" t="inlineStr"/>
      <c r="O31" s="27" t="inlineStr"/>
    </row>
    <row r="32">
      <c r="A32" s="22" t="inlineStr">
        <is>
          <t>TC-COMM-006</t>
        </is>
      </c>
      <c r="B32" s="23" t="inlineStr">
        <is>
          <t>Commercial &amp; Purchase Orders</t>
        </is>
      </c>
      <c r="C32" s="23" t="inlineStr">
        <is>
          <t>PO</t>
        </is>
      </c>
      <c r="D32" s="23" t="inlineStr">
        <is>
          <t>PO list filters persist</t>
        </is>
      </c>
      <c r="E32" s="30" t="inlineStr">
        <is>
          <t>Low</t>
        </is>
      </c>
      <c r="F32" s="23" t="inlineStr">
        <is>
          <t>Functional</t>
        </is>
      </c>
      <c r="G32" s="23" t="inlineStr">
        <is>
          <t>Super Admin</t>
        </is>
      </c>
      <c r="H32" s="23" t="inlineStr">
        <is>
          <t>Web</t>
        </is>
      </c>
      <c r="I32" s="23" t="inlineStr">
        <is>
          <t>Multiple POs exist.</t>
        </is>
      </c>
      <c r="J32" s="23" t="inlineStr">
        <is>
          <t>Filters persist across refresh (usePersistentState).</t>
        </is>
      </c>
      <c r="K32" s="23" t="inlineStr">
        <is>
          <t>REQ-COMM-PO;REQ-REFRESH</t>
        </is>
      </c>
      <c r="L32" s="25" t="inlineStr">
        <is>
          <t>Not Run</t>
        </is>
      </c>
      <c r="M32" s="23" t="inlineStr"/>
      <c r="N32" s="23" t="inlineStr"/>
      <c r="O32" s="23" t="inlineStr"/>
    </row>
    <row r="33">
      <c r="A33" s="26" t="inlineStr">
        <is>
          <t>TC-ACT-001</t>
        </is>
      </c>
      <c r="B33" s="27" t="inlineStr">
        <is>
          <t>Invoice &amp; Activation Workflow</t>
        </is>
      </c>
      <c r="C33" s="27" t="inlineStr">
        <is>
          <t>Gate</t>
        </is>
      </c>
      <c r="D33" s="27" t="inlineStr">
        <is>
          <t>New tenant starts pending</t>
        </is>
      </c>
      <c r="E33" s="24" t="inlineStr">
        <is>
          <t>High</t>
        </is>
      </c>
      <c r="F33" s="27" t="inlineStr">
        <is>
          <t>Functional</t>
        </is>
      </c>
      <c r="G33" s="27" t="inlineStr">
        <is>
          <t>New tenant admin</t>
        </is>
      </c>
      <c r="H33" s="27" t="inlineStr">
        <is>
          <t>Both</t>
        </is>
      </c>
      <c r="I33" s="27" t="inlineStr">
        <is>
          <t>Tenant just created.</t>
        </is>
      </c>
      <c r="J33" s="27" t="inlineStr">
        <is>
          <t>activationStatus = pending; access gated.</t>
        </is>
      </c>
      <c r="K33" s="27" t="inlineStr">
        <is>
          <t>REQ-ACT-Gate</t>
        </is>
      </c>
      <c r="L33" s="28" t="inlineStr">
        <is>
          <t>Not Run</t>
        </is>
      </c>
      <c r="M33" s="27" t="inlineStr"/>
      <c r="N33" s="27" t="inlineStr"/>
      <c r="O33" s="27" t="inlineStr"/>
    </row>
    <row r="34">
      <c r="A34" s="22" t="inlineStr">
        <is>
          <t>TC-ACT-002</t>
        </is>
      </c>
      <c r="B34" s="23" t="inlineStr">
        <is>
          <t>Invoice &amp; Activation Workflow</t>
        </is>
      </c>
      <c r="C34" s="23" t="inlineStr">
        <is>
          <t>Gate</t>
        </is>
      </c>
      <c r="D34" s="23" t="inlineStr">
        <is>
          <t>Existing tenants grandfathered active</t>
        </is>
      </c>
      <c r="E34" s="24" t="inlineStr">
        <is>
          <t>High</t>
        </is>
      </c>
      <c r="F34" s="23" t="inlineStr">
        <is>
          <t>Functional</t>
        </is>
      </c>
      <c r="G34" s="23" t="inlineStr">
        <is>
          <t>Existing tenant admin</t>
        </is>
      </c>
      <c r="H34" s="23" t="inlineStr">
        <is>
          <t>Both</t>
        </is>
      </c>
      <c r="I34" s="23" t="inlineStr">
        <is>
          <t>Tenant predates the activation feature.</t>
        </is>
      </c>
      <c r="J34" s="23" t="inlineStr">
        <is>
          <t>activationStatus defaults to activated; no gate.</t>
        </is>
      </c>
      <c r="K34" s="23" t="inlineStr">
        <is>
          <t>REQ-ACT-Gate</t>
        </is>
      </c>
      <c r="L34" s="25" t="inlineStr">
        <is>
          <t>Not Run</t>
        </is>
      </c>
      <c r="M34" s="23" t="inlineStr"/>
      <c r="N34" s="23" t="inlineStr"/>
      <c r="O34" s="23" t="inlineStr"/>
    </row>
    <row r="35">
      <c r="A35" s="26" t="inlineStr">
        <is>
          <t>TC-ACT-003</t>
        </is>
      </c>
      <c r="B35" s="27" t="inlineStr">
        <is>
          <t>Invoice &amp; Activation Workflow</t>
        </is>
      </c>
      <c r="C35" s="27" t="inlineStr">
        <is>
          <t>Invoice</t>
        </is>
      </c>
      <c r="D35" s="27" t="inlineStr">
        <is>
          <t>Submit payment / invoice proof</t>
        </is>
      </c>
      <c r="E35" s="29" t="inlineStr">
        <is>
          <t>Medium</t>
        </is>
      </c>
      <c r="F35" s="27" t="inlineStr">
        <is>
          <t>Functional</t>
        </is>
      </c>
      <c r="G35" s="27" t="inlineStr">
        <is>
          <t>Tenant admin</t>
        </is>
      </c>
      <c r="H35" s="27" t="inlineStr">
        <is>
          <t>Web</t>
        </is>
      </c>
      <c r="I35" s="27" t="inlineStr">
        <is>
          <t>Tenant is pending.</t>
        </is>
      </c>
      <c r="J35" s="27" t="inlineStr">
        <is>
          <t>Payment submission is recorded for review.</t>
        </is>
      </c>
      <c r="K35" s="27" t="inlineStr">
        <is>
          <t>REQ-ACT-Invoice</t>
        </is>
      </c>
      <c r="L35" s="28" t="inlineStr">
        <is>
          <t>Not Run</t>
        </is>
      </c>
      <c r="M35" s="27" t="inlineStr"/>
      <c r="N35" s="27" t="inlineStr"/>
      <c r="O35" s="27" t="inlineStr"/>
    </row>
    <row r="36">
      <c r="A36" s="22" t="inlineStr">
        <is>
          <t>TC-ACT-004</t>
        </is>
      </c>
      <c r="B36" s="23" t="inlineStr">
        <is>
          <t>Invoice &amp; Activation Workflow</t>
        </is>
      </c>
      <c r="C36" s="23" t="inlineStr">
        <is>
          <t>Invoice</t>
        </is>
      </c>
      <c r="D36" s="23" t="inlineStr">
        <is>
          <t>Rejected payment allows resubmit</t>
        </is>
      </c>
      <c r="E36" s="29" t="inlineStr">
        <is>
          <t>Medium</t>
        </is>
      </c>
      <c r="F36" s="23" t="inlineStr">
        <is>
          <t>Negative</t>
        </is>
      </c>
      <c r="G36" s="23" t="inlineStr">
        <is>
          <t>Tenant admin</t>
        </is>
      </c>
      <c r="H36" s="23" t="inlineStr">
        <is>
          <t>Web</t>
        </is>
      </c>
      <c r="I36" s="23" t="inlineStr">
        <is>
          <t>A payment was submitted and rejected.</t>
        </is>
      </c>
      <c r="J36" s="23" t="inlineStr">
        <is>
          <t>canUpload re-enables so the admin can resubmit.</t>
        </is>
      </c>
      <c r="K36" s="23" t="inlineStr">
        <is>
          <t>REQ-ACT-Invoice</t>
        </is>
      </c>
      <c r="L36" s="25" t="inlineStr">
        <is>
          <t>Not Run</t>
        </is>
      </c>
      <c r="M36" s="23" t="inlineStr"/>
      <c r="N36" s="23" t="inlineStr"/>
      <c r="O36" s="23" t="inlineStr"/>
    </row>
    <row r="37">
      <c r="A37" s="26" t="inlineStr">
        <is>
          <t>TC-ACT-005</t>
        </is>
      </c>
      <c r="B37" s="27" t="inlineStr">
        <is>
          <t>Invoice &amp; Activation Workflow</t>
        </is>
      </c>
      <c r="C37" s="27" t="inlineStr">
        <is>
          <t>Manual</t>
        </is>
      </c>
      <c r="D37" s="27" t="inlineStr">
        <is>
          <t>Manual activation with justification</t>
        </is>
      </c>
      <c r="E37" s="24" t="inlineStr">
        <is>
          <t>High</t>
        </is>
      </c>
      <c r="F37" s="27" t="inlineStr">
        <is>
          <t>Functional</t>
        </is>
      </c>
      <c r="G37" s="27" t="inlineStr">
        <is>
          <t>Super Admin</t>
        </is>
      </c>
      <c r="H37" s="27" t="inlineStr">
        <is>
          <t>Web</t>
        </is>
      </c>
      <c r="I37" s="27" t="inlineStr">
        <is>
          <t>A pending tenant exists.</t>
        </is>
      </c>
      <c r="J37" s="27" t="inlineStr">
        <is>
          <t>Manual activation requires a business justification and is logged.</t>
        </is>
      </c>
      <c r="K37" s="27" t="inlineStr">
        <is>
          <t>REQ-ACT-Manual</t>
        </is>
      </c>
      <c r="L37" s="28" t="inlineStr">
        <is>
          <t>Not Run</t>
        </is>
      </c>
      <c r="M37" s="27" t="inlineStr"/>
      <c r="N37" s="27" t="inlineStr"/>
      <c r="O37" s="27" t="inlineStr"/>
    </row>
    <row r="38">
      <c r="A38" s="22" t="inlineStr">
        <is>
          <t>TC-ACT-006</t>
        </is>
      </c>
      <c r="B38" s="23" t="inlineStr">
        <is>
          <t>Invoice &amp; Activation Workflow</t>
        </is>
      </c>
      <c r="C38" s="23" t="inlineStr">
        <is>
          <t>History</t>
        </is>
      </c>
      <c r="D38" s="23" t="inlineStr">
        <is>
          <t>Activation history log</t>
        </is>
      </c>
      <c r="E38" s="30" t="inlineStr">
        <is>
          <t>Low</t>
        </is>
      </c>
      <c r="F38" s="23" t="inlineStr">
        <is>
          <t>Functional</t>
        </is>
      </c>
      <c r="G38" s="23" t="inlineStr">
        <is>
          <t>Super Admin</t>
        </is>
      </c>
      <c r="H38" s="23" t="inlineStr">
        <is>
          <t>Web</t>
        </is>
      </c>
      <c r="I38" s="23" t="inlineStr">
        <is>
          <t>Activation events occurred.</t>
        </is>
      </c>
      <c r="J38" s="23" t="inlineStr">
        <is>
          <t>Full activation history is viewable.</t>
        </is>
      </c>
      <c r="K38" s="23" t="inlineStr">
        <is>
          <t>REQ-ACT-Manual</t>
        </is>
      </c>
      <c r="L38" s="25" t="inlineStr">
        <is>
          <t>Not Run</t>
        </is>
      </c>
      <c r="M38" s="23" t="inlineStr"/>
      <c r="N38" s="23" t="inlineStr"/>
      <c r="O38" s="23" t="inlineStr"/>
    </row>
    <row r="39">
      <c r="A39" s="26" t="inlineStr">
        <is>
          <t>TC-ACT-007</t>
        </is>
      </c>
      <c r="B39" s="27" t="inlineStr">
        <is>
          <t>Invoice &amp; Activation Workflow</t>
        </is>
      </c>
      <c r="C39" s="27" t="inlineStr">
        <is>
          <t>Gate</t>
        </is>
      </c>
      <c r="D39" s="27" t="inlineStr">
        <is>
          <t>Non-admin gate is limited</t>
        </is>
      </c>
      <c r="E39" s="29" t="inlineStr">
        <is>
          <t>Medium</t>
        </is>
      </c>
      <c r="F39" s="27" t="inlineStr">
        <is>
          <t>Functional</t>
        </is>
      </c>
      <c r="G39" s="27" t="inlineStr">
        <is>
          <t>Non-admin in pending tenant</t>
        </is>
      </c>
      <c r="H39" s="27" t="inlineStr">
        <is>
          <t>Both</t>
        </is>
      </c>
      <c r="I39" s="27" t="inlineStr">
        <is>
          <t>Tenant pending; user is a non-admin member.</t>
        </is>
      </c>
      <c r="J39" s="27" t="inlineStr">
        <is>
          <t>Non-admin sees terms/tour/policies only, not the activation enforcement.</t>
        </is>
      </c>
      <c r="K39" s="27" t="inlineStr">
        <is>
          <t>REQ-ACT-Gate;REQ-ONB</t>
        </is>
      </c>
      <c r="L39" s="28" t="inlineStr">
        <is>
          <t>Not Run</t>
        </is>
      </c>
      <c r="M39" s="27" t="inlineStr"/>
      <c r="N39" s="27" t="inlineStr"/>
      <c r="O39" s="27" t="inlineStr"/>
    </row>
    <row r="40">
      <c r="A40" s="22" t="inlineStr">
        <is>
          <t>TC-MSG-001</t>
        </is>
      </c>
      <c r="B40" s="23" t="inlineStr">
        <is>
          <t>Messaging</t>
        </is>
      </c>
      <c r="C40" s="23" t="inlineStr">
        <is>
          <t>Direct</t>
        </is>
      </c>
      <c r="D40" s="23" t="inlineStr">
        <is>
          <t>Send a 1:1 message</t>
        </is>
      </c>
      <c r="E40" s="24" t="inlineStr">
        <is>
          <t>High</t>
        </is>
      </c>
      <c r="F40" s="23" t="inlineStr">
        <is>
          <t>Functional</t>
        </is>
      </c>
      <c r="G40" s="23" t="inlineStr">
        <is>
          <t>Any messaging user</t>
        </is>
      </c>
      <c r="H40" s="23" t="inlineStr">
        <is>
          <t>Both</t>
        </is>
      </c>
      <c r="I40" s="23" t="inlineStr">
        <is>
          <t>Two users share a messaging context.</t>
        </is>
      </c>
      <c r="J40" s="23" t="inlineStr">
        <is>
          <t>Message delivers and appears for both.</t>
        </is>
      </c>
      <c r="K40" s="23" t="inlineStr">
        <is>
          <t>REQ-MSG-DM</t>
        </is>
      </c>
      <c r="L40" s="25" t="inlineStr">
        <is>
          <t>Not Run</t>
        </is>
      </c>
      <c r="M40" s="23" t="inlineStr"/>
      <c r="N40" s="23" t="inlineStr"/>
      <c r="O40" s="23" t="inlineStr"/>
    </row>
    <row r="41">
      <c r="A41" s="26" t="inlineStr">
        <is>
          <t>TC-MSG-002</t>
        </is>
      </c>
      <c r="B41" s="27" t="inlineStr">
        <is>
          <t>Messaging</t>
        </is>
      </c>
      <c r="C41" s="27" t="inlineStr">
        <is>
          <t>Group</t>
        </is>
      </c>
      <c r="D41" s="27" t="inlineStr">
        <is>
          <t>Create a group chat</t>
        </is>
      </c>
      <c r="E41" s="29" t="inlineStr">
        <is>
          <t>Medium</t>
        </is>
      </c>
      <c r="F41" s="27" t="inlineStr">
        <is>
          <t>Functional</t>
        </is>
      </c>
      <c r="G41" s="27" t="inlineStr">
        <is>
          <t>Any messaging user</t>
        </is>
      </c>
      <c r="H41" s="27" t="inlineStr">
        <is>
          <t>Both</t>
        </is>
      </c>
      <c r="I41" s="27" t="inlineStr">
        <is>
          <t>Multiple eligible members exist.</t>
        </is>
      </c>
      <c r="J41" s="27" t="inlineStr">
        <is>
          <t>Group thread is created with members.</t>
        </is>
      </c>
      <c r="K41" s="27" t="inlineStr">
        <is>
          <t>REQ-MSG-Group</t>
        </is>
      </c>
      <c r="L41" s="28" t="inlineStr">
        <is>
          <t>Not Run</t>
        </is>
      </c>
      <c r="M41" s="27" t="inlineStr"/>
      <c r="N41" s="27" t="inlineStr"/>
      <c r="O41" s="27" t="inlineStr"/>
    </row>
    <row r="42">
      <c r="A42" s="22" t="inlineStr">
        <is>
          <t>TC-MSG-003</t>
        </is>
      </c>
      <c r="B42" s="23" t="inlineStr">
        <is>
          <t>Messaging</t>
        </is>
      </c>
      <c r="C42" s="23" t="inlineStr">
        <is>
          <t>Group</t>
        </is>
      </c>
      <c r="D42" s="23" t="inlineStr">
        <is>
          <t>Manage members / rename / leave</t>
        </is>
      </c>
      <c r="E42" s="29" t="inlineStr">
        <is>
          <t>Medium</t>
        </is>
      </c>
      <c r="F42" s="23" t="inlineStr">
        <is>
          <t>Functional</t>
        </is>
      </c>
      <c r="G42" s="23" t="inlineStr">
        <is>
          <t>Group member</t>
        </is>
      </c>
      <c r="H42" s="23" t="inlineStr">
        <is>
          <t>Both</t>
        </is>
      </c>
      <c r="I42" s="23" t="inlineStr">
        <is>
          <t>A group thread exists.</t>
        </is>
      </c>
      <c r="J42" s="23" t="inlineStr">
        <is>
          <t>Add/remove/rename/leave behave correctly.</t>
        </is>
      </c>
      <c r="K42" s="23" t="inlineStr">
        <is>
          <t>REQ-MSG-Group</t>
        </is>
      </c>
      <c r="L42" s="25" t="inlineStr">
        <is>
          <t>Not Run</t>
        </is>
      </c>
      <c r="M42" s="23" t="inlineStr"/>
      <c r="N42" s="23" t="inlineStr"/>
      <c r="O42" s="23" t="inlineStr"/>
    </row>
    <row r="43">
      <c r="A43" s="26" t="inlineStr">
        <is>
          <t>TC-MSG-004</t>
        </is>
      </c>
      <c r="B43" s="27" t="inlineStr">
        <is>
          <t>Messaging</t>
        </is>
      </c>
      <c r="C43" s="27" t="inlineStr">
        <is>
          <t>Mention</t>
        </is>
      </c>
      <c r="D43" s="27" t="inlineStr">
        <is>
          <t>@mention notifies the user</t>
        </is>
      </c>
      <c r="E43" s="29" t="inlineStr">
        <is>
          <t>Medium</t>
        </is>
      </c>
      <c r="F43" s="27" t="inlineStr">
        <is>
          <t>Functional</t>
        </is>
      </c>
      <c r="G43" s="27" t="inlineStr">
        <is>
          <t>Any messaging user</t>
        </is>
      </c>
      <c r="H43" s="27" t="inlineStr">
        <is>
          <t>Both</t>
        </is>
      </c>
      <c r="I43" s="27" t="inlineStr">
        <is>
          <t>A thread with multiple members.</t>
        </is>
      </c>
      <c r="J43" s="27" t="inlineStr">
        <is>
          <t>Mentioned user is notified.</t>
        </is>
      </c>
      <c r="K43" s="27" t="inlineStr">
        <is>
          <t>REQ-MSG-Mention</t>
        </is>
      </c>
      <c r="L43" s="28" t="inlineStr">
        <is>
          <t>Not Run</t>
        </is>
      </c>
      <c r="M43" s="27" t="inlineStr"/>
      <c r="N43" s="27" t="inlineStr"/>
      <c r="O43" s="27" t="inlineStr"/>
    </row>
    <row r="44">
      <c r="A44" s="22" t="inlineStr">
        <is>
          <t>TC-MSG-005</t>
        </is>
      </c>
      <c r="B44" s="23" t="inlineStr">
        <is>
          <t>Messaging</t>
        </is>
      </c>
      <c r="C44" s="23" t="inlineStr">
        <is>
          <t>Thread</t>
        </is>
      </c>
      <c r="D44" s="23" t="inlineStr">
        <is>
          <t>Reply to a message</t>
        </is>
      </c>
      <c r="E44" s="30" t="inlineStr">
        <is>
          <t>Low</t>
        </is>
      </c>
      <c r="F44" s="23" t="inlineStr">
        <is>
          <t>Functional</t>
        </is>
      </c>
      <c r="G44" s="23" t="inlineStr">
        <is>
          <t>Any messaging user</t>
        </is>
      </c>
      <c r="H44" s="23" t="inlineStr">
        <is>
          <t>Both</t>
        </is>
      </c>
      <c r="I44" s="23" t="inlineStr">
        <is>
          <t>A message exists.</t>
        </is>
      </c>
      <c r="J44" s="23" t="inlineStr">
        <is>
          <t>Reply references its parent.</t>
        </is>
      </c>
      <c r="K44" s="23" t="inlineStr">
        <is>
          <t>REQ-MSG-Thread</t>
        </is>
      </c>
      <c r="L44" s="25" t="inlineStr">
        <is>
          <t>Not Run</t>
        </is>
      </c>
      <c r="M44" s="23" t="inlineStr"/>
      <c r="N44" s="23" t="inlineStr"/>
      <c r="O44" s="23" t="inlineStr"/>
    </row>
    <row r="45">
      <c r="A45" s="26" t="inlineStr">
        <is>
          <t>TC-MSG-006</t>
        </is>
      </c>
      <c r="B45" s="27" t="inlineStr">
        <is>
          <t>Messaging</t>
        </is>
      </c>
      <c r="C45" s="27" t="inlineStr">
        <is>
          <t>Reaction</t>
        </is>
      </c>
      <c r="D45" s="27" t="inlineStr">
        <is>
          <t>React to a message</t>
        </is>
      </c>
      <c r="E45" s="30" t="inlineStr">
        <is>
          <t>Low</t>
        </is>
      </c>
      <c r="F45" s="27" t="inlineStr">
        <is>
          <t>Functional</t>
        </is>
      </c>
      <c r="G45" s="27" t="inlineStr">
        <is>
          <t>Any messaging user</t>
        </is>
      </c>
      <c r="H45" s="27" t="inlineStr">
        <is>
          <t>Both</t>
        </is>
      </c>
      <c r="I45" s="27" t="inlineStr">
        <is>
          <t>A message exists.</t>
        </is>
      </c>
      <c r="J45" s="27" t="inlineStr">
        <is>
          <t>Reaction toggles and is visible.</t>
        </is>
      </c>
      <c r="K45" s="27" t="inlineStr">
        <is>
          <t>REQ-MSG-React</t>
        </is>
      </c>
      <c r="L45" s="28" t="inlineStr">
        <is>
          <t>Not Run</t>
        </is>
      </c>
      <c r="M45" s="27" t="inlineStr"/>
      <c r="N45" s="27" t="inlineStr"/>
      <c r="O45" s="27" t="inlineStr"/>
    </row>
    <row r="46">
      <c r="A46" s="22" t="inlineStr">
        <is>
          <t>TC-MSG-007</t>
        </is>
      </c>
      <c r="B46" s="23" t="inlineStr">
        <is>
          <t>Messaging</t>
        </is>
      </c>
      <c r="C46" s="23" t="inlineStr">
        <is>
          <t>Unread</t>
        </is>
      </c>
      <c r="D46" s="23" t="inlineStr">
        <is>
          <t>Read receipts / unread counts</t>
        </is>
      </c>
      <c r="E46" s="29" t="inlineStr">
        <is>
          <t>Medium</t>
        </is>
      </c>
      <c r="F46" s="23" t="inlineStr">
        <is>
          <t>Functional</t>
        </is>
      </c>
      <c r="G46" s="23" t="inlineStr">
        <is>
          <t>Any messaging user</t>
        </is>
      </c>
      <c r="H46" s="23" t="inlineStr">
        <is>
          <t>Both</t>
        </is>
      </c>
      <c r="I46" s="23" t="inlineStr">
        <is>
          <t>Unread messages exist.</t>
        </is>
      </c>
      <c r="J46" s="23" t="inlineStr">
        <is>
          <t>Opening a thread updates lastReadAt and clears the count.</t>
        </is>
      </c>
      <c r="K46" s="23" t="inlineStr">
        <is>
          <t>REQ-MSG-DM</t>
        </is>
      </c>
      <c r="L46" s="25" t="inlineStr">
        <is>
          <t>Not Run</t>
        </is>
      </c>
      <c r="M46" s="23" t="inlineStr"/>
      <c r="N46" s="23" t="inlineStr"/>
      <c r="O46" s="23" t="inlineStr"/>
    </row>
    <row r="47">
      <c r="A47" s="26" t="inlineStr">
        <is>
          <t>TC-MSG-008</t>
        </is>
      </c>
      <c r="B47" s="27" t="inlineStr">
        <is>
          <t>Messaging</t>
        </is>
      </c>
      <c r="C47" s="27" t="inlineStr">
        <is>
          <t>Attachment</t>
        </is>
      </c>
      <c r="D47" s="27" t="inlineStr">
        <is>
          <t>Send an attachment</t>
        </is>
      </c>
      <c r="E47" s="30" t="inlineStr">
        <is>
          <t>Low</t>
        </is>
      </c>
      <c r="F47" s="27" t="inlineStr">
        <is>
          <t>Functional</t>
        </is>
      </c>
      <c r="G47" s="27" t="inlineStr">
        <is>
          <t>Any messaging user</t>
        </is>
      </c>
      <c r="H47" s="27" t="inlineStr">
        <is>
          <t>Both</t>
        </is>
      </c>
      <c r="I47" s="27" t="inlineStr">
        <is>
          <t>User has a file/image to attach.</t>
        </is>
      </c>
      <c r="J47" s="27" t="inlineStr">
        <is>
          <t>Attachment sends within size limits.</t>
        </is>
      </c>
      <c r="K47" s="27" t="inlineStr">
        <is>
          <t>REQ-MSG-DM</t>
        </is>
      </c>
      <c r="L47" s="28" t="inlineStr">
        <is>
          <t>Not Run</t>
        </is>
      </c>
      <c r="M47" s="27" t="inlineStr"/>
      <c r="N47" s="27" t="inlineStr"/>
      <c r="O47" s="27" t="inlineStr"/>
    </row>
    <row r="48">
      <c r="A48" s="22" t="inlineStr">
        <is>
          <t>TC-MSG-009</t>
        </is>
      </c>
      <c r="B48" s="23" t="inlineStr">
        <is>
          <t>Messaging</t>
        </is>
      </c>
      <c r="C48" s="23" t="inlineStr">
        <is>
          <t>Security</t>
        </is>
      </c>
      <c r="D48" s="23" t="inlineStr">
        <is>
          <t>HTML sanitisation blocks XSS</t>
        </is>
      </c>
      <c r="E48" s="24" t="inlineStr">
        <is>
          <t>High</t>
        </is>
      </c>
      <c r="F48" s="23" t="inlineStr">
        <is>
          <t>Security</t>
        </is>
      </c>
      <c r="G48" s="23" t="inlineStr">
        <is>
          <t>Any messaging user</t>
        </is>
      </c>
      <c r="H48" s="23" t="inlineStr">
        <is>
          <t>Both</t>
        </is>
      </c>
      <c r="I48" s="23" t="inlineStr">
        <is>
          <t>Messaging renders rich text.</t>
        </is>
      </c>
      <c r="J48" s="23" t="inlineStr">
        <is>
          <t>Malicious markup is neutralised.</t>
        </is>
      </c>
      <c r="K48" s="23" t="inlineStr">
        <is>
          <t>REQ-MSG-Sanitise;REQ-SEC</t>
        </is>
      </c>
      <c r="L48" s="25" t="inlineStr">
        <is>
          <t>Not Run</t>
        </is>
      </c>
      <c r="M48" s="23" t="inlineStr"/>
      <c r="N48" s="23" t="inlineStr"/>
      <c r="O48" s="23" t="inlineStr"/>
    </row>
    <row r="49">
      <c r="A49" s="26" t="inlineStr">
        <is>
          <t>TC-MSG-010</t>
        </is>
      </c>
      <c r="B49" s="27" t="inlineStr">
        <is>
          <t>Messaging</t>
        </is>
      </c>
      <c r="C49" s="27" t="inlineStr">
        <is>
          <t>Mobile</t>
        </is>
      </c>
      <c r="D49" s="27" t="inlineStr">
        <is>
          <t>Mobile DM parity</t>
        </is>
      </c>
      <c r="E49" s="29" t="inlineStr">
        <is>
          <t>Medium</t>
        </is>
      </c>
      <c r="F49" s="27" t="inlineStr">
        <is>
          <t>Functional</t>
        </is>
      </c>
      <c r="G49" s="27" t="inlineStr">
        <is>
          <t>Teacher / Driver / Admin</t>
        </is>
      </c>
      <c r="H49" s="27" t="inlineStr">
        <is>
          <t>Mobile</t>
        </is>
      </c>
      <c r="I49" s="27" t="inlineStr">
        <is>
          <t>User has the Messages tab.</t>
        </is>
      </c>
      <c r="J49" s="27" t="inlineStr">
        <is>
          <t>Mobile DM matches web behaviour.</t>
        </is>
      </c>
      <c r="K49" s="27" t="inlineStr">
        <is>
          <t>REQ-MSG-DM;REQ-MOB</t>
        </is>
      </c>
      <c r="L49" s="28" t="inlineStr">
        <is>
          <t>Not Run</t>
        </is>
      </c>
      <c r="M49" s="27" t="inlineStr"/>
      <c r="N49" s="27" t="inlineStr"/>
      <c r="O49" s="27" t="inlineStr"/>
    </row>
    <row r="50">
      <c r="A50" s="22" t="inlineStr">
        <is>
          <t>TC-DLG-001</t>
        </is>
      </c>
      <c r="B50" s="23" t="inlineStr">
        <is>
          <t>Download Governance</t>
        </is>
      </c>
      <c r="C50" s="23" t="inlineStr">
        <is>
          <t>PDF</t>
        </is>
      </c>
      <c r="D50" s="23" t="inlineStr">
        <is>
          <t>Branded PDF with metadata</t>
        </is>
      </c>
      <c r="E50" s="24" t="inlineStr">
        <is>
          <t>High</t>
        </is>
      </c>
      <c r="F50" s="23" t="inlineStr">
        <is>
          <t>Functional</t>
        </is>
      </c>
      <c r="G50" s="23" t="inlineStr">
        <is>
          <t>Any exporter</t>
        </is>
      </c>
      <c r="H50" s="23" t="inlineStr">
        <is>
          <t>Web</t>
        </is>
      </c>
      <c r="I50" s="23" t="inlineStr">
        <is>
          <t>A report/screen offers PDF export.</t>
        </is>
      </c>
      <c r="J50" s="23" t="inlineStr">
        <is>
          <t>PDF carries brand template + metadata + audit.</t>
        </is>
      </c>
      <c r="K50" s="23" t="inlineStr">
        <is>
          <t>REQ-DLG</t>
        </is>
      </c>
      <c r="L50" s="25" t="inlineStr">
        <is>
          <t>Not Run</t>
        </is>
      </c>
      <c r="M50" s="23" t="inlineStr"/>
      <c r="N50" s="23" t="inlineStr"/>
      <c r="O50" s="23" t="inlineStr"/>
    </row>
    <row r="51">
      <c r="A51" s="26" t="inlineStr">
        <is>
          <t>TC-DLG-002</t>
        </is>
      </c>
      <c r="B51" s="27" t="inlineStr">
        <is>
          <t>Download Governance</t>
        </is>
      </c>
      <c r="C51" s="27" t="inlineStr">
        <is>
          <t>Excel</t>
        </is>
      </c>
      <c r="D51" s="27" t="inlineStr">
        <is>
          <t>Excel export metadata sheet</t>
        </is>
      </c>
      <c r="E51" s="29" t="inlineStr">
        <is>
          <t>Medium</t>
        </is>
      </c>
      <c r="F51" s="27" t="inlineStr">
        <is>
          <t>Functional</t>
        </is>
      </c>
      <c r="G51" s="27" t="inlineStr">
        <is>
          <t>Any exporter</t>
        </is>
      </c>
      <c r="H51" s="27" t="inlineStr">
        <is>
          <t>Web</t>
        </is>
      </c>
      <c r="I51" s="27" t="inlineStr">
        <is>
          <t>A screen offers Excel export.</t>
        </is>
      </c>
      <c r="J51" s="27" t="inlineStr">
        <is>
          <t>Workbook includes a metadata sheet.</t>
        </is>
      </c>
      <c r="K51" s="27" t="inlineStr">
        <is>
          <t>REQ-DLG</t>
        </is>
      </c>
      <c r="L51" s="28" t="inlineStr">
        <is>
          <t>Not Run</t>
        </is>
      </c>
      <c r="M51" s="27" t="inlineStr"/>
      <c r="N51" s="27" t="inlineStr"/>
      <c r="O51" s="27" t="inlineStr"/>
    </row>
    <row r="52">
      <c r="A52" s="22" t="inlineStr">
        <is>
          <t>TC-DLG-003</t>
        </is>
      </c>
      <c r="B52" s="23" t="inlineStr">
        <is>
          <t>Download Governance</t>
        </is>
      </c>
      <c r="C52" s="23" t="inlineStr">
        <is>
          <t>CSV</t>
        </is>
      </c>
      <c r="D52" s="23" t="inlineStr">
        <is>
          <t>CSV metadata stamp</t>
        </is>
      </c>
      <c r="E52" s="30" t="inlineStr">
        <is>
          <t>Low</t>
        </is>
      </c>
      <c r="F52" s="23" t="inlineStr">
        <is>
          <t>Functional</t>
        </is>
      </c>
      <c r="G52" s="23" t="inlineStr">
        <is>
          <t>Any exporter</t>
        </is>
      </c>
      <c r="H52" s="23" t="inlineStr">
        <is>
          <t>Both</t>
        </is>
      </c>
      <c r="I52" s="23" t="inlineStr">
        <is>
          <t>A screen offers CSV export.</t>
        </is>
      </c>
      <c r="J52" s="23" t="inlineStr">
        <is>
          <t>CSV is stamped with metadata header rows.</t>
        </is>
      </c>
      <c r="K52" s="23" t="inlineStr">
        <is>
          <t>REQ-DLG</t>
        </is>
      </c>
      <c r="L52" s="25" t="inlineStr">
        <is>
          <t>Not Run</t>
        </is>
      </c>
      <c r="M52" s="23" t="inlineStr"/>
      <c r="N52" s="23" t="inlineStr"/>
      <c r="O52" s="23" t="inlineStr"/>
    </row>
    <row r="53">
      <c r="A53" s="26" t="inlineStr">
        <is>
          <t>TC-DLG-004</t>
        </is>
      </c>
      <c r="B53" s="27" t="inlineStr">
        <is>
          <t>Download Governance</t>
        </is>
      </c>
      <c r="C53" s="27" t="inlineStr">
        <is>
          <t>Audit</t>
        </is>
      </c>
      <c r="D53" s="27" t="inlineStr">
        <is>
          <t>Download audit trail</t>
        </is>
      </c>
      <c r="E53" s="29" t="inlineStr">
        <is>
          <t>Medium</t>
        </is>
      </c>
      <c r="F53" s="27" t="inlineStr">
        <is>
          <t>Security</t>
        </is>
      </c>
      <c r="G53" s="27" t="inlineStr">
        <is>
          <t>Compliance reviewer</t>
        </is>
      </c>
      <c r="H53" s="27" t="inlineStr">
        <is>
          <t>Web</t>
        </is>
      </c>
      <c r="I53" s="27" t="inlineStr">
        <is>
          <t>Downloads have occurred.</t>
        </is>
      </c>
      <c r="J53" s="27" t="inlineStr">
        <is>
          <t>Every governed download is auditable.</t>
        </is>
      </c>
      <c r="K53" s="27" t="inlineStr">
        <is>
          <t>REQ-DLG;REQ-SEC</t>
        </is>
      </c>
      <c r="L53" s="28" t="inlineStr">
        <is>
          <t>Not Run</t>
        </is>
      </c>
      <c r="M53" s="27" t="inlineStr"/>
      <c r="N53" s="27" t="inlineStr"/>
      <c r="O53" s="27" t="inlineStr"/>
    </row>
    <row r="54">
      <c r="A54" s="22" t="inlineStr">
        <is>
          <t>TC-DLG-005</t>
        </is>
      </c>
      <c r="B54" s="23" t="inlineStr">
        <is>
          <t>Download Governance</t>
        </is>
      </c>
      <c r="C54" s="23" t="inlineStr">
        <is>
          <t>Retrofit</t>
        </is>
      </c>
      <c r="D54" s="23" t="inlineStr">
        <is>
          <t>Deep-route export governance</t>
        </is>
      </c>
      <c r="E54" s="30" t="inlineStr">
        <is>
          <t>Low</t>
        </is>
      </c>
      <c r="F54" s="23" t="inlineStr">
        <is>
          <t>Regression</t>
        </is>
      </c>
      <c r="G54" s="23" t="inlineStr">
        <is>
          <t>Any exporter</t>
        </is>
      </c>
      <c r="H54" s="23" t="inlineStr">
        <is>
          <t>Web</t>
        </is>
      </c>
      <c r="I54" s="23" t="inlineStr">
        <is>
          <t>Reports/policies/trust-acks/import-template/messaging-delivery exports exist.</t>
        </is>
      </c>
      <c r="J54" s="23" t="inlineStr">
        <is>
          <t>Deep-nested export routes also apply governance (on-device pass).</t>
        </is>
      </c>
      <c r="K54" s="23" t="inlineStr">
        <is>
          <t>REQ-DLG</t>
        </is>
      </c>
      <c r="L54" s="25" t="inlineStr">
        <is>
          <t>Not Run</t>
        </is>
      </c>
      <c r="M54" s="23" t="inlineStr"/>
      <c r="N54" s="23" t="inlineStr"/>
      <c r="O54" s="23" t="inlineStr"/>
    </row>
    <row r="55">
      <c r="A55" s="26" t="inlineStr">
        <is>
          <t>TC-SCH-001</t>
        </is>
      </c>
      <c r="B55" s="27" t="inlineStr">
        <is>
          <t>School-Admin Portal</t>
        </is>
      </c>
      <c r="C55" s="27" t="inlineStr">
        <is>
          <t>Dashboard</t>
        </is>
      </c>
      <c r="D55" s="27" t="inlineStr">
        <is>
          <t>School-admin dashboard loads</t>
        </is>
      </c>
      <c r="E55" s="29" t="inlineStr">
        <is>
          <t>Medium</t>
        </is>
      </c>
      <c r="F55" s="27" t="inlineStr">
        <is>
          <t>Functional</t>
        </is>
      </c>
      <c r="G55" s="27" t="inlineStr">
        <is>
          <t>School Administrator</t>
        </is>
      </c>
      <c r="H55" s="27" t="inlineStr">
        <is>
          <t>Web</t>
        </is>
      </c>
      <c r="I55" s="27" t="inlineStr">
        <is>
          <t>Admin signed in.</t>
        </is>
      </c>
      <c r="J55" s="27" t="inlineStr">
        <is>
          <t>Dashboard KPIs render without error.</t>
        </is>
      </c>
      <c r="K55" s="27" t="inlineStr">
        <is>
          <t>REQ-SCH</t>
        </is>
      </c>
      <c r="L55" s="28" t="inlineStr">
        <is>
          <t>Not Run</t>
        </is>
      </c>
      <c r="M55" s="27" t="inlineStr"/>
      <c r="N55" s="27" t="inlineStr"/>
      <c r="O55" s="27" t="inlineStr"/>
    </row>
    <row r="56">
      <c r="A56" s="22" t="inlineStr">
        <is>
          <t>TC-SCH-002</t>
        </is>
      </c>
      <c r="B56" s="23" t="inlineStr">
        <is>
          <t>School-Admin Portal</t>
        </is>
      </c>
      <c r="C56" s="23" t="inlineStr">
        <is>
          <t>Parity</t>
        </is>
      </c>
      <c r="D56" s="23" t="inlineStr">
        <is>
          <t>Admin has all Transport-Manager sections</t>
        </is>
      </c>
      <c r="E56" s="24" t="inlineStr">
        <is>
          <t>High</t>
        </is>
      </c>
      <c r="F56" s="23" t="inlineStr">
        <is>
          <t>Regression</t>
        </is>
      </c>
      <c r="G56" s="23" t="inlineStr">
        <is>
          <t>School Administrator</t>
        </is>
      </c>
      <c r="H56" s="23" t="inlineStr">
        <is>
          <t>Web</t>
        </is>
      </c>
      <c r="I56" s="23" t="inlineStr">
        <is>
          <t>TM sections exist.</t>
        </is>
      </c>
      <c r="J56" s="23" t="inlineStr">
        <is>
          <t>School Admin's Transport tab exposes full TM parity.</t>
        </is>
      </c>
      <c r="K56" s="23" t="inlineStr">
        <is>
          <t>REQ-SCH-TMParity</t>
        </is>
      </c>
      <c r="L56" s="25" t="inlineStr">
        <is>
          <t>Not Run</t>
        </is>
      </c>
      <c r="M56" s="23" t="inlineStr"/>
      <c r="N56" s="23" t="inlineStr"/>
      <c r="O56" s="23" t="inlineStr"/>
    </row>
    <row r="57">
      <c r="A57" s="26" t="inlineStr">
        <is>
          <t>TC-SCH-003</t>
        </is>
      </c>
      <c r="B57" s="27" t="inlineStr">
        <is>
          <t>School-Admin Portal</t>
        </is>
      </c>
      <c r="C57" s="27" t="inlineStr">
        <is>
          <t>Invitations</t>
        </is>
      </c>
      <c r="D57" s="27" t="inlineStr">
        <is>
          <t>Invite a member with a role</t>
        </is>
      </c>
      <c r="E57" s="29" t="inlineStr">
        <is>
          <t>Medium</t>
        </is>
      </c>
      <c r="F57" s="27" t="inlineStr">
        <is>
          <t>Functional</t>
        </is>
      </c>
      <c r="G57" s="27" t="inlineStr">
        <is>
          <t>School Administrator</t>
        </is>
      </c>
      <c r="H57" s="27" t="inlineStr">
        <is>
          <t>Web</t>
        </is>
      </c>
      <c r="I57" s="27" t="inlineStr">
        <is>
          <t>Admin has invite rights.</t>
        </is>
      </c>
      <c r="J57" s="27" t="inlineStr">
        <is>
          <t>Invitation issues with the chosen RBAC role.</t>
        </is>
      </c>
      <c r="K57" s="27" t="inlineStr">
        <is>
          <t>REQ-SCH-Invite</t>
        </is>
      </c>
      <c r="L57" s="28" t="inlineStr">
        <is>
          <t>Not Run</t>
        </is>
      </c>
      <c r="M57" s="27" t="inlineStr"/>
      <c r="N57" s="27" t="inlineStr"/>
      <c r="O57" s="27" t="inlineStr"/>
    </row>
    <row r="58">
      <c r="A58" s="22" t="inlineStr">
        <is>
          <t>TC-SCH-004</t>
        </is>
      </c>
      <c r="B58" s="23" t="inlineStr">
        <is>
          <t>School-Admin Portal</t>
        </is>
      </c>
      <c r="C58" s="23" t="inlineStr">
        <is>
          <t>Announcements</t>
        </is>
      </c>
      <c r="D58" s="23" t="inlineStr">
        <is>
          <t>Create an announcement</t>
        </is>
      </c>
      <c r="E58" s="30" t="inlineStr">
        <is>
          <t>Low</t>
        </is>
      </c>
      <c r="F58" s="23" t="inlineStr">
        <is>
          <t>Functional</t>
        </is>
      </c>
      <c r="G58" s="23" t="inlineStr">
        <is>
          <t>School Administrator</t>
        </is>
      </c>
      <c r="H58" s="23" t="inlineStr">
        <is>
          <t>Web</t>
        </is>
      </c>
      <c r="I58" s="23" t="inlineStr">
        <is>
          <t>Admin signed in.</t>
        </is>
      </c>
      <c r="J58" s="23" t="inlineStr">
        <is>
          <t>Announcement publishes to the target audience.</t>
        </is>
      </c>
      <c r="K58" s="23" t="inlineStr">
        <is>
          <t>REQ-ANN</t>
        </is>
      </c>
      <c r="L58" s="25" t="inlineStr">
        <is>
          <t>Not Run</t>
        </is>
      </c>
      <c r="M58" s="23" t="inlineStr"/>
      <c r="N58" s="23" t="inlineStr"/>
      <c r="O58" s="23" t="inlineStr"/>
    </row>
    <row r="59">
      <c r="A59" s="26" t="inlineStr">
        <is>
          <t>TC-SCH-005</t>
        </is>
      </c>
      <c r="B59" s="27" t="inlineStr">
        <is>
          <t>School-Admin Portal</t>
        </is>
      </c>
      <c r="C59" s="27" t="inlineStr">
        <is>
          <t>Calendar</t>
        </is>
      </c>
      <c r="D59" s="27" t="inlineStr">
        <is>
          <t>Manage events</t>
        </is>
      </c>
      <c r="E59" s="30" t="inlineStr">
        <is>
          <t>Low</t>
        </is>
      </c>
      <c r="F59" s="27" t="inlineStr">
        <is>
          <t>Functional</t>
        </is>
      </c>
      <c r="G59" s="27" t="inlineStr">
        <is>
          <t>School Administrator</t>
        </is>
      </c>
      <c r="H59" s="27" t="inlineStr">
        <is>
          <t>Web</t>
        </is>
      </c>
      <c r="I59" s="27" t="inlineStr">
        <is>
          <t>Admin signed in.</t>
        </is>
      </c>
      <c r="J59" s="27" t="inlineStr">
        <is>
          <t>Events create/edit and appear for parents.</t>
        </is>
      </c>
      <c r="K59" s="27" t="inlineStr">
        <is>
          <t>REQ-CAL</t>
        </is>
      </c>
      <c r="L59" s="28" t="inlineStr">
        <is>
          <t>Not Run</t>
        </is>
      </c>
      <c r="M59" s="27" t="inlineStr"/>
      <c r="N59" s="27" t="inlineStr"/>
      <c r="O59" s="27" t="inlineStr"/>
    </row>
    <row r="60">
      <c r="A60" s="22" t="inlineStr">
        <is>
          <t>TC-TCH-001</t>
        </is>
      </c>
      <c r="B60" s="23" t="inlineStr">
        <is>
          <t>Teacher Portal</t>
        </is>
      </c>
      <c r="C60" s="23" t="inlineStr">
        <is>
          <t>Dashboard</t>
        </is>
      </c>
      <c r="D60" s="23" t="inlineStr">
        <is>
          <t>Teacher dashboard</t>
        </is>
      </c>
      <c r="E60" s="29" t="inlineStr">
        <is>
          <t>Medium</t>
        </is>
      </c>
      <c r="F60" s="23" t="inlineStr">
        <is>
          <t>Functional</t>
        </is>
      </c>
      <c r="G60" s="23" t="inlineStr">
        <is>
          <t>Teacher</t>
        </is>
      </c>
      <c r="H60" s="23" t="inlineStr">
        <is>
          <t>Both</t>
        </is>
      </c>
      <c r="I60" s="23" t="inlineStr">
        <is>
          <t>Teacher signed in.</t>
        </is>
      </c>
      <c r="J60" s="23" t="inlineStr">
        <is>
          <t>Class overview renders.</t>
        </is>
      </c>
      <c r="K60" s="23" t="inlineStr">
        <is>
          <t>REQ-TCH</t>
        </is>
      </c>
      <c r="L60" s="25" t="inlineStr">
        <is>
          <t>Not Run</t>
        </is>
      </c>
      <c r="M60" s="23" t="inlineStr"/>
      <c r="N60" s="23" t="inlineStr"/>
      <c r="O60" s="23" t="inlineStr"/>
    </row>
    <row r="61">
      <c r="A61" s="26" t="inlineStr">
        <is>
          <t>TC-TCH-002</t>
        </is>
      </c>
      <c r="B61" s="27" t="inlineStr">
        <is>
          <t>Teacher Portal</t>
        </is>
      </c>
      <c r="C61" s="27" t="inlineStr">
        <is>
          <t>Trips</t>
        </is>
      </c>
      <c r="D61" s="27" t="inlineStr">
        <is>
          <t>Manage a trip</t>
        </is>
      </c>
      <c r="E61" s="29" t="inlineStr">
        <is>
          <t>Medium</t>
        </is>
      </c>
      <c r="F61" s="27" t="inlineStr">
        <is>
          <t>Functional</t>
        </is>
      </c>
      <c r="G61" s="27" t="inlineStr">
        <is>
          <t>Teacher</t>
        </is>
      </c>
      <c r="H61" s="27" t="inlineStr">
        <is>
          <t>Both</t>
        </is>
      </c>
      <c r="I61" s="27" t="inlineStr">
        <is>
          <t>Teacher owns a trip.</t>
        </is>
      </c>
      <c r="J61" s="27" t="inlineStr">
        <is>
          <t>Consents and roster update.</t>
        </is>
      </c>
      <c r="K61" s="27" t="inlineStr">
        <is>
          <t>REQ-TCH-Trips</t>
        </is>
      </c>
      <c r="L61" s="28" t="inlineStr">
        <is>
          <t>Not Run</t>
        </is>
      </c>
      <c r="M61" s="27" t="inlineStr"/>
      <c r="N61" s="27" t="inlineStr"/>
      <c r="O61" s="27" t="inlineStr"/>
    </row>
    <row r="62">
      <c r="A62" s="22" t="inlineStr">
        <is>
          <t>TC-TCH-003</t>
        </is>
      </c>
      <c r="B62" s="23" t="inlineStr">
        <is>
          <t>Teacher Portal</t>
        </is>
      </c>
      <c r="C62" s="23" t="inlineStr">
        <is>
          <t>Reports</t>
        </is>
      </c>
      <c r="D62" s="23" t="inlineStr">
        <is>
          <t>Create a pupil report</t>
        </is>
      </c>
      <c r="E62" s="29" t="inlineStr">
        <is>
          <t>Medium</t>
        </is>
      </c>
      <c r="F62" s="23" t="inlineStr">
        <is>
          <t>Functional</t>
        </is>
      </c>
      <c r="G62" s="23" t="inlineStr">
        <is>
          <t>Teacher</t>
        </is>
      </c>
      <c r="H62" s="23" t="inlineStr">
        <is>
          <t>Web</t>
        </is>
      </c>
      <c r="I62" s="23" t="inlineStr">
        <is>
          <t>Reporting cycle open.</t>
        </is>
      </c>
      <c r="J62" s="23" t="inlineStr">
        <is>
          <t>Report saves and can be finalised.</t>
        </is>
      </c>
      <c r="K62" s="23" t="inlineStr">
        <is>
          <t>REQ-RPT</t>
        </is>
      </c>
      <c r="L62" s="25" t="inlineStr">
        <is>
          <t>Not Run</t>
        </is>
      </c>
      <c r="M62" s="23" t="inlineStr"/>
      <c r="N62" s="23" t="inlineStr"/>
      <c r="O62" s="23" t="inlineStr"/>
    </row>
    <row r="63">
      <c r="A63" s="26" t="inlineStr">
        <is>
          <t>TC-TCH-004</t>
        </is>
      </c>
      <c r="B63" s="27" t="inlineStr">
        <is>
          <t>Teacher Portal</t>
        </is>
      </c>
      <c r="C63" s="27" t="inlineStr">
        <is>
          <t>Behaviour</t>
        </is>
      </c>
      <c r="D63" s="27" t="inlineStr">
        <is>
          <t>Award merit / behaviour point</t>
        </is>
      </c>
      <c r="E63" s="30" t="inlineStr">
        <is>
          <t>Low</t>
        </is>
      </c>
      <c r="F63" s="27" t="inlineStr">
        <is>
          <t>Functional</t>
        </is>
      </c>
      <c r="G63" s="27" t="inlineStr">
        <is>
          <t>Teacher</t>
        </is>
      </c>
      <c r="H63" s="27" t="inlineStr">
        <is>
          <t>Both</t>
        </is>
      </c>
      <c r="I63" s="27" t="inlineStr">
        <is>
          <t>Pupil exists.</t>
        </is>
      </c>
      <c r="J63" s="27" t="inlineStr">
        <is>
          <t>Behaviour point recorded and visible to parent.</t>
        </is>
      </c>
      <c r="K63" s="27" t="inlineStr">
        <is>
          <t>REQ-BEH</t>
        </is>
      </c>
      <c r="L63" s="28" t="inlineStr">
        <is>
          <t>Not Run</t>
        </is>
      </c>
      <c r="M63" s="27" t="inlineStr"/>
      <c r="N63" s="27" t="inlineStr"/>
      <c r="O63" s="27" t="inlineStr"/>
    </row>
    <row r="64">
      <c r="A64" s="22" t="inlineStr">
        <is>
          <t>TC-PAR-001</t>
        </is>
      </c>
      <c r="B64" s="23" t="inlineStr">
        <is>
          <t>Parent Portal</t>
        </is>
      </c>
      <c r="C64" s="23" t="inlineStr">
        <is>
          <t>Dashboard</t>
        </is>
      </c>
      <c r="D64" s="23" t="inlineStr">
        <is>
          <t>Parent dashboard &amp; children</t>
        </is>
      </c>
      <c r="E64" s="29" t="inlineStr">
        <is>
          <t>Medium</t>
        </is>
      </c>
      <c r="F64" s="23" t="inlineStr">
        <is>
          <t>Functional</t>
        </is>
      </c>
      <c r="G64" s="23" t="inlineStr">
        <is>
          <t>Parent</t>
        </is>
      </c>
      <c r="H64" s="23" t="inlineStr">
        <is>
          <t>Both</t>
        </is>
      </c>
      <c r="I64" s="23" t="inlineStr">
        <is>
          <t>Parent linked to children.</t>
        </is>
      </c>
      <c r="J64" s="23" t="inlineStr">
        <is>
          <t>Children summary renders.</t>
        </is>
      </c>
      <c r="K64" s="23" t="inlineStr">
        <is>
          <t>REQ-PAR</t>
        </is>
      </c>
      <c r="L64" s="25" t="inlineStr">
        <is>
          <t>Not Run</t>
        </is>
      </c>
      <c r="M64" s="23" t="inlineStr"/>
      <c r="N64" s="23" t="inlineStr"/>
      <c r="O64" s="23" t="inlineStr"/>
    </row>
    <row r="65">
      <c r="A65" s="26" t="inlineStr">
        <is>
          <t>TC-PAR-002</t>
        </is>
      </c>
      <c r="B65" s="27" t="inlineStr">
        <is>
          <t>Parent Portal</t>
        </is>
      </c>
      <c r="C65" s="27" t="inlineStr">
        <is>
          <t>Consent</t>
        </is>
      </c>
      <c r="D65" s="27" t="inlineStr">
        <is>
          <t>Consent to a trip</t>
        </is>
      </c>
      <c r="E65" s="29" t="inlineStr">
        <is>
          <t>Medium</t>
        </is>
      </c>
      <c r="F65" s="27" t="inlineStr">
        <is>
          <t>Functional</t>
        </is>
      </c>
      <c r="G65" s="27" t="inlineStr">
        <is>
          <t>Parent</t>
        </is>
      </c>
      <c r="H65" s="27" t="inlineStr">
        <is>
          <t>Both</t>
        </is>
      </c>
      <c r="I65" s="27" t="inlineStr">
        <is>
          <t>A trip requires consent.</t>
        </is>
      </c>
      <c r="J65" s="27" t="inlineStr">
        <is>
          <t>Consent is captured.</t>
        </is>
      </c>
      <c r="K65" s="27" t="inlineStr">
        <is>
          <t>REQ-PAR-Consent</t>
        </is>
      </c>
      <c r="L65" s="28" t="inlineStr">
        <is>
          <t>Not Run</t>
        </is>
      </c>
      <c r="M65" s="27" t="inlineStr"/>
      <c r="N65" s="27" t="inlineStr"/>
      <c r="O65" s="27" t="inlineStr"/>
    </row>
    <row r="66">
      <c r="A66" s="22" t="inlineStr">
        <is>
          <t>TC-PAR-003</t>
        </is>
      </c>
      <c r="B66" s="23" t="inlineStr">
        <is>
          <t>Parent Portal</t>
        </is>
      </c>
      <c r="C66" s="23" t="inlineStr">
        <is>
          <t>Transport</t>
        </is>
      </c>
      <c r="D66" s="23" t="inlineStr">
        <is>
          <t>Live transport tracking</t>
        </is>
      </c>
      <c r="E66" s="29" t="inlineStr">
        <is>
          <t>Medium</t>
        </is>
      </c>
      <c r="F66" s="23" t="inlineStr">
        <is>
          <t>Functional</t>
        </is>
      </c>
      <c r="G66" s="23" t="inlineStr">
        <is>
          <t>Parent</t>
        </is>
      </c>
      <c r="H66" s="23" t="inlineStr">
        <is>
          <t>Both</t>
        </is>
      </c>
      <c r="I66" s="23" t="inlineStr">
        <is>
          <t>Child assigned to a running journey.</t>
        </is>
      </c>
      <c r="J66" s="23" t="inlineStr">
        <is>
          <t>Approximate live position shown during the journey only.</t>
        </is>
      </c>
      <c r="K66" s="23" t="inlineStr">
        <is>
          <t>REQ-PAR-Transport;REQ-Safeguard</t>
        </is>
      </c>
      <c r="L66" s="25" t="inlineStr">
        <is>
          <t>Not Run</t>
        </is>
      </c>
      <c r="M66" s="23" t="inlineStr"/>
      <c r="N66" s="23" t="inlineStr"/>
      <c r="O66" s="23" t="inlineStr"/>
    </row>
    <row r="67">
      <c r="A67" s="26" t="inlineStr">
        <is>
          <t>TC-PAR-004</t>
        </is>
      </c>
      <c r="B67" s="27" t="inlineStr">
        <is>
          <t>Parent Portal</t>
        </is>
      </c>
      <c r="C67" s="27" t="inlineStr">
        <is>
          <t>AI</t>
        </is>
      </c>
      <c r="D67" s="27" t="inlineStr">
        <is>
          <t>AI assistant scoped to own children</t>
        </is>
      </c>
      <c r="E67" s="29" t="inlineStr">
        <is>
          <t>Medium</t>
        </is>
      </c>
      <c r="F67" s="27" t="inlineStr">
        <is>
          <t>Security</t>
        </is>
      </c>
      <c r="G67" s="27" t="inlineStr">
        <is>
          <t>Parent</t>
        </is>
      </c>
      <c r="H67" s="27" t="inlineStr">
        <is>
          <t>Both</t>
        </is>
      </c>
      <c r="I67" s="27" t="inlineStr">
        <is>
          <t>AI subscription active.</t>
        </is>
      </c>
      <c r="J67" s="27" t="inlineStr">
        <is>
          <t>Assistant answers only about the parent's children.</t>
        </is>
      </c>
      <c r="K67" s="27" t="inlineStr">
        <is>
          <t>REQ-PAR-AI</t>
        </is>
      </c>
      <c r="L67" s="28" t="inlineStr">
        <is>
          <t>Not Run</t>
        </is>
      </c>
      <c r="M67" s="27" t="inlineStr"/>
      <c r="N67" s="27" t="inlineStr"/>
      <c r="O67" s="27" t="inlineStr"/>
    </row>
    <row r="68">
      <c r="A68" s="22" t="inlineStr">
        <is>
          <t>TC-PAR-005</t>
        </is>
      </c>
      <c r="B68" s="23" t="inlineStr">
        <is>
          <t>Parent Portal</t>
        </is>
      </c>
      <c r="C68" s="23" t="inlineStr">
        <is>
          <t>Notifications</t>
        </is>
      </c>
      <c r="D68" s="23" t="inlineStr">
        <is>
          <t>Notification preferences persist</t>
        </is>
      </c>
      <c r="E68" s="30" t="inlineStr">
        <is>
          <t>Low</t>
        </is>
      </c>
      <c r="F68" s="23" t="inlineStr">
        <is>
          <t>Functional</t>
        </is>
      </c>
      <c r="G68" s="23" t="inlineStr">
        <is>
          <t>Parent</t>
        </is>
      </c>
      <c r="H68" s="23" t="inlineStr">
        <is>
          <t>Both</t>
        </is>
      </c>
      <c r="I68" s="23" t="inlineStr">
        <is>
          <t>Parent signed in.</t>
        </is>
      </c>
      <c r="J68" s="23" t="inlineStr">
        <is>
          <t>Preference changes are saved.</t>
        </is>
      </c>
      <c r="K68" s="23" t="inlineStr">
        <is>
          <t>REQ-NOTIF</t>
        </is>
      </c>
      <c r="L68" s="25" t="inlineStr">
        <is>
          <t>Not Run</t>
        </is>
      </c>
      <c r="M68" s="23" t="inlineStr"/>
      <c r="N68" s="23" t="inlineStr"/>
      <c r="O68" s="23" t="inlineStr"/>
    </row>
    <row r="69">
      <c r="A69" s="26" t="inlineStr">
        <is>
          <t>TC-DRV-001</t>
        </is>
      </c>
      <c r="B69" s="27" t="inlineStr">
        <is>
          <t>Driver Portal (Web)</t>
        </is>
      </c>
      <c r="C69" s="27" t="inlineStr">
        <is>
          <t>Journeys</t>
        </is>
      </c>
      <c r="D69" s="27" t="inlineStr">
        <is>
          <t>Driver web journeys / start-stop</t>
        </is>
      </c>
      <c r="E69" s="29" t="inlineStr">
        <is>
          <t>Medium</t>
        </is>
      </c>
      <c r="F69" s="27" t="inlineStr">
        <is>
          <t>Functional</t>
        </is>
      </c>
      <c r="G69" s="27" t="inlineStr">
        <is>
          <t>Driver</t>
        </is>
      </c>
      <c r="H69" s="27" t="inlineStr">
        <is>
          <t>Web</t>
        </is>
      </c>
      <c r="I69" s="27" t="inlineStr">
        <is>
          <t>Driver assigned journeys.</t>
        </is>
      </c>
      <c r="J69" s="27" t="inlineStr">
        <is>
          <t>Start/stop notifies office and parents.</t>
        </is>
      </c>
      <c r="K69" s="27" t="inlineStr">
        <is>
          <t>REQ-DRV</t>
        </is>
      </c>
      <c r="L69" s="28" t="inlineStr">
        <is>
          <t>Not Run</t>
        </is>
      </c>
      <c r="M69" s="27" t="inlineStr"/>
      <c r="N69" s="27" t="inlineStr"/>
      <c r="O69" s="27" t="inlineStr"/>
    </row>
    <row r="70">
      <c r="A70" s="22" t="inlineStr">
        <is>
          <t>TC-DRV-002</t>
        </is>
      </c>
      <c r="B70" s="23" t="inlineStr">
        <is>
          <t>Driver Portal (Web)</t>
        </is>
      </c>
      <c r="C70" s="23" t="inlineStr">
        <is>
          <t>Incident</t>
        </is>
      </c>
      <c r="D70" s="23" t="inlineStr">
        <is>
          <t>Raise an incident (web)</t>
        </is>
      </c>
      <c r="E70" s="24" t="inlineStr">
        <is>
          <t>High</t>
        </is>
      </c>
      <c r="F70" s="23" t="inlineStr">
        <is>
          <t>Functional</t>
        </is>
      </c>
      <c r="G70" s="23" t="inlineStr">
        <is>
          <t>Driver</t>
        </is>
      </c>
      <c r="H70" s="23" t="inlineStr">
        <is>
          <t>Web</t>
        </is>
      </c>
      <c r="I70" s="23" t="inlineStr">
        <is>
          <t>Driver signed in.</t>
        </is>
      </c>
      <c r="J70" s="23" t="inlineStr">
        <is>
          <t>Incident is created (journey-less allowed).</t>
        </is>
      </c>
      <c r="K70" s="23" t="inlineStr">
        <is>
          <t>REQ-DRV-Incident</t>
        </is>
      </c>
      <c r="L70" s="25" t="inlineStr">
        <is>
          <t>Not Run</t>
        </is>
      </c>
      <c r="M70" s="23" t="inlineStr"/>
      <c r="N70" s="23" t="inlineStr"/>
      <c r="O70" s="23" t="inlineStr"/>
    </row>
    <row r="71">
      <c r="A71" s="26" t="inlineStr">
        <is>
          <t>TC-DRV-003</t>
        </is>
      </c>
      <c r="B71" s="27" t="inlineStr">
        <is>
          <t>Driver Portal (Web)</t>
        </is>
      </c>
      <c r="C71" s="27" t="inlineStr">
        <is>
          <t>Fleet</t>
        </is>
      </c>
      <c r="D71" s="27" t="inlineStr">
        <is>
          <t>Vehicle / fleet log</t>
        </is>
      </c>
      <c r="E71" s="29" t="inlineStr">
        <is>
          <t>Medium</t>
        </is>
      </c>
      <c r="F71" s="27" t="inlineStr">
        <is>
          <t>Functional</t>
        </is>
      </c>
      <c r="G71" s="27" t="inlineStr">
        <is>
          <t>Driver</t>
        </is>
      </c>
      <c r="H71" s="27" t="inlineStr">
        <is>
          <t>Web</t>
        </is>
      </c>
      <c r="I71" s="27" t="inlineStr">
        <is>
          <t>Vehicles exist for the school.</t>
        </is>
      </c>
      <c r="J71" s="27" t="inlineStr">
        <is>
          <t>Vehicle status &amp; compliance shown.</t>
        </is>
      </c>
      <c r="K71" s="27" t="inlineStr">
        <is>
          <t>REQ-DRV-Fleet</t>
        </is>
      </c>
      <c r="L71" s="28" t="inlineStr">
        <is>
          <t>Not Run</t>
        </is>
      </c>
      <c r="M71" s="27" t="inlineStr"/>
      <c r="N71" s="27" t="inlineStr"/>
      <c r="O71" s="27" t="inlineStr"/>
    </row>
    <row r="72">
      <c r="A72" s="22" t="inlineStr">
        <is>
          <t>TC-DRV-004</t>
        </is>
      </c>
      <c r="B72" s="23" t="inlineStr">
        <is>
          <t>Driver Portal (Web)</t>
        </is>
      </c>
      <c r="C72" s="23" t="inlineStr">
        <is>
          <t>Regression</t>
        </is>
      </c>
      <c r="D72" s="23" t="inlineStr">
        <is>
          <t>Travel log renders with null session</t>
        </is>
      </c>
      <c r="E72" s="24" t="inlineStr">
        <is>
          <t>High</t>
        </is>
      </c>
      <c r="F72" s="23" t="inlineStr">
        <is>
          <t>Regression</t>
        </is>
      </c>
      <c r="G72" s="23" t="inlineStr">
        <is>
          <t>Transport Manager / Admin</t>
        </is>
      </c>
      <c r="H72" s="23" t="inlineStr">
        <is>
          <t>Web</t>
        </is>
      </c>
      <c r="I72" s="23" t="inlineStr">
        <is>
          <t>A travel-log row has a null 'session'.</t>
        </is>
      </c>
      <c r="J72" s="23" t="inlineStr">
        <is>
          <t>No client-side exception; value degrades gracefully.</t>
        </is>
      </c>
      <c r="K72" s="23" t="inlineStr">
        <is>
          <t>REQ-BUG-TravelLog</t>
        </is>
      </c>
      <c r="L72" s="25" t="inlineStr">
        <is>
          <t>Not Run</t>
        </is>
      </c>
      <c r="M72" s="23" t="inlineStr"/>
      <c r="N72" s="23" t="inlineStr"/>
      <c r="O72" s="23" t="inlineStr"/>
    </row>
    <row r="73">
      <c r="A73" s="26" t="inlineStr">
        <is>
          <t>TC-DRVM-001</t>
        </is>
      </c>
      <c r="B73" s="27" t="inlineStr">
        <is>
          <t>Driver App (Mobile)</t>
        </is>
      </c>
      <c r="C73" s="27" t="inlineStr">
        <is>
          <t>Bootstrap</t>
        </is>
      </c>
      <c r="D73" s="27" t="inlineStr">
        <is>
          <t>Driver resolves to Driver app</t>
        </is>
      </c>
      <c r="E73" s="24" t="inlineStr">
        <is>
          <t>High</t>
        </is>
      </c>
      <c r="F73" s="27" t="inlineStr">
        <is>
          <t>Regression</t>
        </is>
      </c>
      <c r="G73" s="27" t="inlineStr">
        <is>
          <t>Driver (also holds admin role)</t>
        </is>
      </c>
      <c r="H73" s="27" t="inlineStr">
        <is>
          <t>Mobile</t>
        </is>
      </c>
      <c r="I73" s="27" t="inlineStr">
        <is>
          <t>Account holds Driver plus an admin-level role (e.g. de.sobra.ltd@gmail.com).</t>
        </is>
      </c>
      <c r="J73" s="27" t="inlineStr">
        <is>
          <t>appRole = driver; the driver app loads.</t>
        </is>
      </c>
      <c r="K73" s="27" t="inlineStr">
        <is>
          <t>REQ-BUG-DriverRole</t>
        </is>
      </c>
      <c r="L73" s="28" t="inlineStr">
        <is>
          <t>Not Run</t>
        </is>
      </c>
      <c r="M73" s="27" t="inlineStr"/>
      <c r="N73" s="27" t="inlineStr"/>
      <c r="O73" s="27" t="inlineStr"/>
    </row>
    <row r="74">
      <c r="A74" s="22" t="inlineStr">
        <is>
          <t>TC-DRVM-002</t>
        </is>
      </c>
      <c r="B74" s="23" t="inlineStr">
        <is>
          <t>Driver App (Mobile)</t>
        </is>
      </c>
      <c r="C74" s="23" t="inlineStr">
        <is>
          <t>Navigation</t>
        </is>
      </c>
      <c r="D74" s="23" t="inlineStr">
        <is>
          <t>Driver tabs present</t>
        </is>
      </c>
      <c r="E74" s="24" t="inlineStr">
        <is>
          <t>High</t>
        </is>
      </c>
      <c r="F74" s="23" t="inlineStr">
        <is>
          <t>Functional</t>
        </is>
      </c>
      <c r="G74" s="23" t="inlineStr">
        <is>
          <t>Driver</t>
        </is>
      </c>
      <c r="H74" s="23" t="inlineStr">
        <is>
          <t>Mobile</t>
        </is>
      </c>
      <c r="I74" s="23" t="inlineStr">
        <is>
          <t>Driver signed in on mobile.</t>
        </is>
      </c>
      <c r="J74" s="23" t="inlineStr">
        <is>
          <t>All key driver tabs are available.</t>
        </is>
      </c>
      <c r="K74" s="23" t="inlineStr">
        <is>
          <t>REQ-DRV-Mobile</t>
        </is>
      </c>
      <c r="L74" s="25" t="inlineStr">
        <is>
          <t>Not Run</t>
        </is>
      </c>
      <c r="M74" s="23" t="inlineStr"/>
      <c r="N74" s="23" t="inlineStr"/>
      <c r="O74" s="23" t="inlineStr"/>
    </row>
    <row r="75">
      <c r="A75" s="26" t="inlineStr">
        <is>
          <t>TC-DRVM-003</t>
        </is>
      </c>
      <c r="B75" s="27" t="inlineStr">
        <is>
          <t>Driver App (Mobile)</t>
        </is>
      </c>
      <c r="C75" s="27" t="inlineStr">
        <is>
          <t>Journeys</t>
        </is>
      </c>
      <c r="D75" s="27" t="inlineStr">
        <is>
          <t>Today's journeys start/complete</t>
        </is>
      </c>
      <c r="E75" s="29" t="inlineStr">
        <is>
          <t>Medium</t>
        </is>
      </c>
      <c r="F75" s="27" t="inlineStr">
        <is>
          <t>Functional</t>
        </is>
      </c>
      <c r="G75" s="27" t="inlineStr">
        <is>
          <t>Driver</t>
        </is>
      </c>
      <c r="H75" s="27" t="inlineStr">
        <is>
          <t>Mobile</t>
        </is>
      </c>
      <c r="I75" s="27" t="inlineStr">
        <is>
          <t>Assigned journeys today.</t>
        </is>
      </c>
      <c r="J75" s="27" t="inlineStr">
        <is>
          <t>Start/complete update and notify.</t>
        </is>
      </c>
      <c r="K75" s="27" t="inlineStr">
        <is>
          <t>REQ-DRV-Mobile</t>
        </is>
      </c>
      <c r="L75" s="28" t="inlineStr">
        <is>
          <t>Not Run</t>
        </is>
      </c>
      <c r="M75" s="27" t="inlineStr"/>
      <c r="N75" s="27" t="inlineStr"/>
      <c r="O75" s="27" t="inlineStr"/>
    </row>
    <row r="76">
      <c r="A76" s="22" t="inlineStr">
        <is>
          <t>TC-DRVM-004</t>
        </is>
      </c>
      <c r="B76" s="23" t="inlineStr">
        <is>
          <t>Driver App (Mobile)</t>
        </is>
      </c>
      <c r="C76" s="23" t="inlineStr">
        <is>
          <t>Incident</t>
        </is>
      </c>
      <c r="D76" s="23" t="inlineStr">
        <is>
          <t>Report an incident (mobile)</t>
        </is>
      </c>
      <c r="E76" s="29" t="inlineStr">
        <is>
          <t>Medium</t>
        </is>
      </c>
      <c r="F76" s="23" t="inlineStr">
        <is>
          <t>Functional</t>
        </is>
      </c>
      <c r="G76" s="23" t="inlineStr">
        <is>
          <t>Driver</t>
        </is>
      </c>
      <c r="H76" s="23" t="inlineStr">
        <is>
          <t>Mobile</t>
        </is>
      </c>
      <c r="I76" s="23" t="inlineStr">
        <is>
          <t>Driver signed in.</t>
        </is>
      </c>
      <c r="J76" s="23" t="inlineStr">
        <is>
          <t>Incident submits and lists.</t>
        </is>
      </c>
      <c r="K76" s="23" t="inlineStr">
        <is>
          <t>REQ-DRV-Incident</t>
        </is>
      </c>
      <c r="L76" s="25" t="inlineStr">
        <is>
          <t>Not Run</t>
        </is>
      </c>
      <c r="M76" s="23" t="inlineStr"/>
      <c r="N76" s="23" t="inlineStr"/>
      <c r="O76" s="23" t="inlineStr"/>
    </row>
    <row r="77">
      <c r="A77" s="26" t="inlineStr">
        <is>
          <t>TC-DRVM-005</t>
        </is>
      </c>
      <c r="B77" s="27" t="inlineStr">
        <is>
          <t>Driver App (Mobile)</t>
        </is>
      </c>
      <c r="C77" s="27" t="inlineStr">
        <is>
          <t>Journey log</t>
        </is>
      </c>
      <c r="D77" s="27" t="inlineStr">
        <is>
          <t>Journey history</t>
        </is>
      </c>
      <c r="E77" s="30" t="inlineStr">
        <is>
          <t>Low</t>
        </is>
      </c>
      <c r="F77" s="27" t="inlineStr">
        <is>
          <t>Functional</t>
        </is>
      </c>
      <c r="G77" s="27" t="inlineStr">
        <is>
          <t>Driver</t>
        </is>
      </c>
      <c r="H77" s="27" t="inlineStr">
        <is>
          <t>Mobile</t>
        </is>
      </c>
      <c r="I77" s="27" t="inlineStr">
        <is>
          <t>Driver has past journeys.</t>
        </is>
      </c>
      <c r="J77" s="27" t="inlineStr">
        <is>
          <t>History renders with counts.</t>
        </is>
      </c>
      <c r="K77" s="27" t="inlineStr">
        <is>
          <t>REQ-DRV-Mobile</t>
        </is>
      </c>
      <c r="L77" s="28" t="inlineStr">
        <is>
          <t>Not Run</t>
        </is>
      </c>
      <c r="M77" s="27" t="inlineStr"/>
      <c r="N77" s="27" t="inlineStr"/>
      <c r="O77" s="27" t="inlineStr"/>
    </row>
    <row r="78">
      <c r="A78" s="22" t="inlineStr">
        <is>
          <t>TC-DRVM-006</t>
        </is>
      </c>
      <c r="B78" s="23" t="inlineStr">
        <is>
          <t>Driver App (Mobile)</t>
        </is>
      </c>
      <c r="C78" s="23" t="inlineStr">
        <is>
          <t>Search</t>
        </is>
      </c>
      <c r="D78" s="23" t="inlineStr">
        <is>
          <t>Debounced driver search</t>
        </is>
      </c>
      <c r="E78" s="30" t="inlineStr">
        <is>
          <t>Low</t>
        </is>
      </c>
      <c r="F78" s="23" t="inlineStr">
        <is>
          <t>Functional</t>
        </is>
      </c>
      <c r="G78" s="23" t="inlineStr">
        <is>
          <t>Driver</t>
        </is>
      </c>
      <c r="H78" s="23" t="inlineStr">
        <is>
          <t>Mobile</t>
        </is>
      </c>
      <c r="I78" s="23" t="inlineStr">
        <is>
          <t>Data to search exists.</t>
        </is>
      </c>
      <c r="J78" s="23" t="inlineStr">
        <is>
          <t>Grouped results after debounce.</t>
        </is>
      </c>
      <c r="K78" s="23" t="inlineStr">
        <is>
          <t>REQ-DRV-Mobile</t>
        </is>
      </c>
      <c r="L78" s="25" t="inlineStr">
        <is>
          <t>Not Run</t>
        </is>
      </c>
      <c r="M78" s="23" t="inlineStr"/>
      <c r="N78" s="23" t="inlineStr"/>
      <c r="O78" s="23" t="inlineStr"/>
    </row>
    <row r="79">
      <c r="A79" s="26" t="inlineStr">
        <is>
          <t>TC-DRVM-007</t>
        </is>
      </c>
      <c r="B79" s="27" t="inlineStr">
        <is>
          <t>Driver App (Mobile)</t>
        </is>
      </c>
      <c r="C79" s="27" t="inlineStr">
        <is>
          <t>Help</t>
        </is>
      </c>
      <c r="D79" s="27" t="inlineStr">
        <is>
          <t>Help &amp; support tickets</t>
        </is>
      </c>
      <c r="E79" s="30" t="inlineStr">
        <is>
          <t>Low</t>
        </is>
      </c>
      <c r="F79" s="27" t="inlineStr">
        <is>
          <t>Functional</t>
        </is>
      </c>
      <c r="G79" s="27" t="inlineStr">
        <is>
          <t>Driver</t>
        </is>
      </c>
      <c r="H79" s="27" t="inlineStr">
        <is>
          <t>Mobile</t>
        </is>
      </c>
      <c r="I79" s="27" t="inlineStr">
        <is>
          <t>Driver signed in.</t>
        </is>
      </c>
      <c r="J79" s="27" t="inlineStr">
        <is>
          <t>Support ticket flow works from Help.</t>
        </is>
      </c>
      <c r="K79" s="27" t="inlineStr">
        <is>
          <t>REQ-SUP;REQ-DRV-Mobile</t>
        </is>
      </c>
      <c r="L79" s="28" t="inlineStr">
        <is>
          <t>Not Run</t>
        </is>
      </c>
      <c r="M79" s="27" t="inlineStr"/>
      <c r="N79" s="27" t="inlineStr"/>
      <c r="O79" s="27" t="inlineStr"/>
    </row>
    <row r="80">
      <c r="A80" s="22" t="inlineStr">
        <is>
          <t>TC-TM-001</t>
        </is>
      </c>
      <c r="B80" s="23" t="inlineStr">
        <is>
          <t>Transport-Manager Portal</t>
        </is>
      </c>
      <c r="C80" s="23" t="inlineStr">
        <is>
          <t>Dashboard</t>
        </is>
      </c>
      <c r="D80" s="23" t="inlineStr">
        <is>
          <t>TM dashboard</t>
        </is>
      </c>
      <c r="E80" s="29" t="inlineStr">
        <is>
          <t>Medium</t>
        </is>
      </c>
      <c r="F80" s="23" t="inlineStr">
        <is>
          <t>Functional</t>
        </is>
      </c>
      <c r="G80" s="23" t="inlineStr">
        <is>
          <t>Transport Manager</t>
        </is>
      </c>
      <c r="H80" s="23" t="inlineStr">
        <is>
          <t>Web</t>
        </is>
      </c>
      <c r="I80" s="23" t="inlineStr">
        <is>
          <t>TM signed in.</t>
        </is>
      </c>
      <c r="J80" s="23" t="inlineStr">
        <is>
          <t>Operational KPIs render.</t>
        </is>
      </c>
      <c r="K80" s="23" t="inlineStr">
        <is>
          <t>REQ-TM</t>
        </is>
      </c>
      <c r="L80" s="25" t="inlineStr">
        <is>
          <t>Not Run</t>
        </is>
      </c>
      <c r="M80" s="23" t="inlineStr"/>
      <c r="N80" s="23" t="inlineStr"/>
      <c r="O80" s="23" t="inlineStr"/>
    </row>
    <row r="81">
      <c r="A81" s="26" t="inlineStr">
        <is>
          <t>TC-TM-002</t>
        </is>
      </c>
      <c r="B81" s="27" t="inlineStr">
        <is>
          <t>Transport-Manager Portal</t>
        </is>
      </c>
      <c r="C81" s="27" t="inlineStr">
        <is>
          <t>Control</t>
        </is>
      </c>
      <c r="D81" s="27" t="inlineStr">
        <is>
          <t>Live control room</t>
        </is>
      </c>
      <c r="E81" s="29" t="inlineStr">
        <is>
          <t>Medium</t>
        </is>
      </c>
      <c r="F81" s="27" t="inlineStr">
        <is>
          <t>Functional</t>
        </is>
      </c>
      <c r="G81" s="27" t="inlineStr">
        <is>
          <t>Transport Manager</t>
        </is>
      </c>
      <c r="H81" s="27" t="inlineStr">
        <is>
          <t>Web</t>
        </is>
      </c>
      <c r="I81" s="27" t="inlineStr">
        <is>
          <t>Journeys in progress.</t>
        </is>
      </c>
      <c r="J81" s="27" t="inlineStr">
        <is>
          <t>Live journeys are monitored.</t>
        </is>
      </c>
      <c r="K81" s="27" t="inlineStr">
        <is>
          <t>REQ-TM</t>
        </is>
      </c>
      <c r="L81" s="28" t="inlineStr">
        <is>
          <t>Not Run</t>
        </is>
      </c>
      <c r="M81" s="27" t="inlineStr"/>
      <c r="N81" s="27" t="inlineStr"/>
      <c r="O81" s="27" t="inlineStr"/>
    </row>
    <row r="82">
      <c r="A82" s="22" t="inlineStr">
        <is>
          <t>TC-TM-003</t>
        </is>
      </c>
      <c r="B82" s="23" t="inlineStr">
        <is>
          <t>Transport-Manager Portal</t>
        </is>
      </c>
      <c r="C82" s="23" t="inlineStr">
        <is>
          <t>Travel logs</t>
        </is>
      </c>
      <c r="D82" s="23" t="inlineStr">
        <is>
          <t>Travel logs view</t>
        </is>
      </c>
      <c r="E82" s="29" t="inlineStr">
        <is>
          <t>Medium</t>
        </is>
      </c>
      <c r="F82" s="23" t="inlineStr">
        <is>
          <t>Functional</t>
        </is>
      </c>
      <c r="G82" s="23" t="inlineStr">
        <is>
          <t>Transport Manager</t>
        </is>
      </c>
      <c r="H82" s="23" t="inlineStr">
        <is>
          <t>Web</t>
        </is>
      </c>
      <c r="I82" s="23" t="inlineStr">
        <is>
          <t>Historic travel data exists.</t>
        </is>
      </c>
      <c r="J82" s="23" t="inlineStr">
        <is>
          <t>Logs render (incl. null-session safety).</t>
        </is>
      </c>
      <c r="K82" s="23" t="inlineStr">
        <is>
          <t>REQ-TM;REQ-BUG-TravelLog</t>
        </is>
      </c>
      <c r="L82" s="25" t="inlineStr">
        <is>
          <t>Not Run</t>
        </is>
      </c>
      <c r="M82" s="23" t="inlineStr"/>
      <c r="N82" s="23" t="inlineStr"/>
      <c r="O82" s="23" t="inlineStr"/>
    </row>
    <row r="83">
      <c r="A83" s="26" t="inlineStr">
        <is>
          <t>TC-TM-004</t>
        </is>
      </c>
      <c r="B83" s="27" t="inlineStr">
        <is>
          <t>Transport-Manager Portal</t>
        </is>
      </c>
      <c r="C83" s="27" t="inlineStr">
        <is>
          <t>Incidents</t>
        </is>
      </c>
      <c r="D83" s="27" t="inlineStr">
        <is>
          <t>Manage incidents</t>
        </is>
      </c>
      <c r="E83" s="29" t="inlineStr">
        <is>
          <t>Medium</t>
        </is>
      </c>
      <c r="F83" s="27" t="inlineStr">
        <is>
          <t>Functional</t>
        </is>
      </c>
      <c r="G83" s="27" t="inlineStr">
        <is>
          <t>Transport Manager</t>
        </is>
      </c>
      <c r="H83" s="27" t="inlineStr">
        <is>
          <t>Web</t>
        </is>
      </c>
      <c r="I83" s="27" t="inlineStr">
        <is>
          <t>Incidents were raised.</t>
        </is>
      </c>
      <c r="J83" s="27" t="inlineStr">
        <is>
          <t>TM can view/triage incidents.</t>
        </is>
      </c>
      <c r="K83" s="27" t="inlineStr">
        <is>
          <t>REQ-TM;REQ-DRV-Incident</t>
        </is>
      </c>
      <c r="L83" s="28" t="inlineStr">
        <is>
          <t>Not Run</t>
        </is>
      </c>
      <c r="M83" s="27" t="inlineStr"/>
      <c r="N83" s="27" t="inlineStr"/>
      <c r="O83" s="27" t="inlineStr"/>
    </row>
    <row r="84">
      <c r="A84" s="22" t="inlineStr">
        <is>
          <t>TC-TM-005</t>
        </is>
      </c>
      <c r="B84" s="23" t="inlineStr">
        <is>
          <t>Transport-Manager Portal</t>
        </is>
      </c>
      <c r="C84" s="23" t="inlineStr">
        <is>
          <t>Fleet</t>
        </is>
      </c>
      <c r="D84" s="23" t="inlineStr">
        <is>
          <t>Vehicles &amp; driver logs</t>
        </is>
      </c>
      <c r="E84" s="29" t="inlineStr">
        <is>
          <t>Medium</t>
        </is>
      </c>
      <c r="F84" s="23" t="inlineStr">
        <is>
          <t>Functional</t>
        </is>
      </c>
      <c r="G84" s="23" t="inlineStr">
        <is>
          <t>Transport Manager</t>
        </is>
      </c>
      <c r="H84" s="23" t="inlineStr">
        <is>
          <t>Web</t>
        </is>
      </c>
      <c r="I84" s="23" t="inlineStr">
        <is>
          <t>Vehicles and drivers exist.</t>
        </is>
      </c>
      <c r="J84" s="23" t="inlineStr">
        <is>
          <t>Fleet, drivers, driver logs, routes render.</t>
        </is>
      </c>
      <c r="K84" s="23" t="inlineStr">
        <is>
          <t>REQ-TM</t>
        </is>
      </c>
      <c r="L84" s="25" t="inlineStr">
        <is>
          <t>Not Run</t>
        </is>
      </c>
      <c r="M84" s="23" t="inlineStr"/>
      <c r="N84" s="23" t="inlineStr"/>
      <c r="O84" s="23" t="inlineStr"/>
    </row>
    <row r="85">
      <c r="A85" s="26" t="inlineStr">
        <is>
          <t>TC-ONB-001</t>
        </is>
      </c>
      <c r="B85" s="27" t="inlineStr">
        <is>
          <t>Onboarding &amp; Profile Enforcement</t>
        </is>
      </c>
      <c r="C85" s="27" t="inlineStr">
        <is>
          <t>Enforcement</t>
        </is>
      </c>
      <c r="D85" s="27" t="inlineStr">
        <is>
          <t>Profile enforcement is tenant-admin only</t>
        </is>
      </c>
      <c r="E85" s="24" t="inlineStr">
        <is>
          <t>High</t>
        </is>
      </c>
      <c r="F85" s="27" t="inlineStr">
        <is>
          <t>Regression</t>
        </is>
      </c>
      <c r="G85" s="27" t="inlineStr">
        <is>
          <t>Tenant admin vs others</t>
        </is>
      </c>
      <c r="H85" s="27" t="inlineStr">
        <is>
          <t>Both</t>
        </is>
      </c>
      <c r="I85" s="27" t="inlineStr">
        <is>
          <t>Tenant requires profile completion.</t>
        </is>
      </c>
      <c r="J85" s="27" t="inlineStr">
        <is>
          <t>Only the tenant admin gets the enforcement pop-up.</t>
        </is>
      </c>
      <c r="K85" s="27" t="inlineStr">
        <is>
          <t>REQ-BUG-ProfileGate;REQ-ONB</t>
        </is>
      </c>
      <c r="L85" s="28" t="inlineStr">
        <is>
          <t>Not Run</t>
        </is>
      </c>
      <c r="M85" s="27" t="inlineStr"/>
      <c r="N85" s="27" t="inlineStr"/>
      <c r="O85" s="27" t="inlineStr"/>
    </row>
    <row r="86">
      <c r="A86" s="22" t="inlineStr">
        <is>
          <t>TC-ONB-002</t>
        </is>
      </c>
      <c r="B86" s="23" t="inlineStr">
        <is>
          <t>Onboarding &amp; Profile Enforcement</t>
        </is>
      </c>
      <c r="C86" s="23" t="inlineStr">
        <is>
          <t>Terms</t>
        </is>
      </c>
      <c r="D86" s="23" t="inlineStr">
        <is>
          <t>Accept Terms of Business</t>
        </is>
      </c>
      <c r="E86" s="29" t="inlineStr">
        <is>
          <t>Medium</t>
        </is>
      </c>
      <c r="F86" s="23" t="inlineStr">
        <is>
          <t>Functional</t>
        </is>
      </c>
      <c r="G86" s="23" t="inlineStr">
        <is>
          <t>Any first-time user</t>
        </is>
      </c>
      <c r="H86" s="23" t="inlineStr">
        <is>
          <t>Both</t>
        </is>
      </c>
      <c r="I86" s="23" t="inlineStr">
        <is>
          <t>User has not yet accepted terms.</t>
        </is>
      </c>
      <c r="J86" s="23" t="inlineStr">
        <is>
          <t>Acceptance is required and recorded.</t>
        </is>
      </c>
      <c r="K86" s="23" t="inlineStr">
        <is>
          <t>REQ-ONB-Terms</t>
        </is>
      </c>
      <c r="L86" s="25" t="inlineStr">
        <is>
          <t>Not Run</t>
        </is>
      </c>
      <c r="M86" s="23" t="inlineStr"/>
      <c r="N86" s="23" t="inlineStr"/>
      <c r="O86" s="23" t="inlineStr"/>
    </row>
    <row r="87">
      <c r="A87" s="26" t="inlineStr">
        <is>
          <t>TC-ONB-003</t>
        </is>
      </c>
      <c r="B87" s="27" t="inlineStr">
        <is>
          <t>Onboarding &amp; Profile Enforcement</t>
        </is>
      </c>
      <c r="C87" s="27" t="inlineStr">
        <is>
          <t>Policies</t>
        </is>
      </c>
      <c r="D87" s="27" t="inlineStr">
        <is>
          <t>Acknowledge policies</t>
        </is>
      </c>
      <c r="E87" s="30" t="inlineStr">
        <is>
          <t>Low</t>
        </is>
      </c>
      <c r="F87" s="27" t="inlineStr">
        <is>
          <t>Functional</t>
        </is>
      </c>
      <c r="G87" s="27" t="inlineStr">
        <is>
          <t>Any user</t>
        </is>
      </c>
      <c r="H87" s="27" t="inlineStr">
        <is>
          <t>Both</t>
        </is>
      </c>
      <c r="I87" s="27" t="inlineStr">
        <is>
          <t>Policies require acknowledgement.</t>
        </is>
      </c>
      <c r="J87" s="27" t="inlineStr">
        <is>
          <t>Policy acknowledgement recorded.</t>
        </is>
      </c>
      <c r="K87" s="27" t="inlineStr">
        <is>
          <t>REQ-ONB-Policies</t>
        </is>
      </c>
      <c r="L87" s="28" t="inlineStr">
        <is>
          <t>Not Run</t>
        </is>
      </c>
      <c r="M87" s="27" t="inlineStr"/>
      <c r="N87" s="27" t="inlineStr"/>
      <c r="O87" s="27" t="inlineStr"/>
    </row>
    <row r="88">
      <c r="A88" s="22" t="inlineStr">
        <is>
          <t>TC-ONB-004</t>
        </is>
      </c>
      <c r="B88" s="23" t="inlineStr">
        <is>
          <t>Onboarding &amp; Profile Enforcement</t>
        </is>
      </c>
      <c r="C88" s="23" t="inlineStr">
        <is>
          <t>Tour</t>
        </is>
      </c>
      <c r="D88" s="23" t="inlineStr">
        <is>
          <t>Product tour</t>
        </is>
      </c>
      <c r="E88" s="30" t="inlineStr">
        <is>
          <t>Low</t>
        </is>
      </c>
      <c r="F88" s="23" t="inlineStr">
        <is>
          <t>Functional</t>
        </is>
      </c>
      <c r="G88" s="23" t="inlineStr">
        <is>
          <t>Any first-time user</t>
        </is>
      </c>
      <c r="H88" s="23" t="inlineStr">
        <is>
          <t>Both</t>
        </is>
      </c>
      <c r="I88" s="23" t="inlineStr">
        <is>
          <t>First run.</t>
        </is>
      </c>
      <c r="J88" s="23" t="inlineStr">
        <is>
          <t>Tour can be viewed and dismissed.</t>
        </is>
      </c>
      <c r="K88" s="23" t="inlineStr">
        <is>
          <t>REQ-ONB-Tour</t>
        </is>
      </c>
      <c r="L88" s="25" t="inlineStr">
        <is>
          <t>Not Run</t>
        </is>
      </c>
      <c r="M88" s="23" t="inlineStr"/>
      <c r="N88" s="23" t="inlineStr"/>
      <c r="O88" s="23" t="inlineStr"/>
    </row>
    <row r="89">
      <c r="A89" s="26" t="inlineStr">
        <is>
          <t>TC-NOTIF-001</t>
        </is>
      </c>
      <c r="B89" s="27" t="inlineStr">
        <is>
          <t>Notifications &amp; Preferences</t>
        </is>
      </c>
      <c r="C89" s="27" t="inlineStr">
        <is>
          <t>Prefs</t>
        </is>
      </c>
      <c r="D89" s="27" t="inlineStr">
        <is>
          <t>Preferences persist</t>
        </is>
      </c>
      <c r="E89" s="30" t="inlineStr">
        <is>
          <t>Low</t>
        </is>
      </c>
      <c r="F89" s="27" t="inlineStr">
        <is>
          <t>Functional</t>
        </is>
      </c>
      <c r="G89" s="27" t="inlineStr">
        <is>
          <t>Any user</t>
        </is>
      </c>
      <c r="H89" s="27" t="inlineStr">
        <is>
          <t>Both</t>
        </is>
      </c>
      <c r="I89" s="27" t="inlineStr">
        <is>
          <t>User signed in.</t>
        </is>
      </c>
      <c r="J89" s="27" t="inlineStr">
        <is>
          <t>Notification preferences save and reload.</t>
        </is>
      </c>
      <c r="K89" s="27" t="inlineStr">
        <is>
          <t>REQ-NOTIF</t>
        </is>
      </c>
      <c r="L89" s="28" t="inlineStr">
        <is>
          <t>Not Run</t>
        </is>
      </c>
      <c r="M89" s="27" t="inlineStr"/>
      <c r="N89" s="27" t="inlineStr"/>
      <c r="O89" s="27" t="inlineStr"/>
    </row>
    <row r="90">
      <c r="A90" s="22" t="inlineStr">
        <is>
          <t>TC-NOTIF-002</t>
        </is>
      </c>
      <c r="B90" s="23" t="inlineStr">
        <is>
          <t>Notifications &amp; Preferences</t>
        </is>
      </c>
      <c r="C90" s="23" t="inlineStr">
        <is>
          <t>Channels</t>
        </is>
      </c>
      <c r="D90" s="23" t="inlineStr">
        <is>
          <t>SMS / WhatsApp delivery</t>
        </is>
      </c>
      <c r="E90" s="29" t="inlineStr">
        <is>
          <t>Medium</t>
        </is>
      </c>
      <c r="F90" s="23" t="inlineStr">
        <is>
          <t>Integration</t>
        </is>
      </c>
      <c r="G90" s="23" t="inlineStr">
        <is>
          <t>System</t>
        </is>
      </c>
      <c r="H90" s="23" t="inlineStr">
        <is>
          <t>Both</t>
        </is>
      </c>
      <c r="I90" s="23" t="inlineStr">
        <is>
          <t>SMS/WhatsApp channel configured.</t>
        </is>
      </c>
      <c r="J90" s="23" t="inlineStr">
        <is>
          <t>Multi-channel messages dispatch.</t>
        </is>
      </c>
      <c r="K90" s="23" t="inlineStr">
        <is>
          <t>REQ-NOTIF-Channels</t>
        </is>
      </c>
      <c r="L90" s="25" t="inlineStr">
        <is>
          <t>Not Run</t>
        </is>
      </c>
      <c r="M90" s="23" t="inlineStr"/>
      <c r="N90" s="23" t="inlineStr"/>
      <c r="O90" s="23" t="inlineStr"/>
    </row>
    <row r="91">
      <c r="A91" s="26" t="inlineStr">
        <is>
          <t>TC-NOTIF-003</t>
        </is>
      </c>
      <c r="B91" s="27" t="inlineStr">
        <is>
          <t>Notifications &amp; Preferences</t>
        </is>
      </c>
      <c r="C91" s="27" t="inlineStr">
        <is>
          <t>Push</t>
        </is>
      </c>
      <c r="D91" s="27" t="inlineStr">
        <is>
          <t>Mobile push receipt</t>
        </is>
      </c>
      <c r="E91" s="30" t="inlineStr">
        <is>
          <t>Low</t>
        </is>
      </c>
      <c r="F91" s="27" t="inlineStr">
        <is>
          <t>Integration</t>
        </is>
      </c>
      <c r="G91" s="27" t="inlineStr">
        <is>
          <t>Mobile user</t>
        </is>
      </c>
      <c r="H91" s="27" t="inlineStr">
        <is>
          <t>Mobile</t>
        </is>
      </c>
      <c r="I91" s="27" t="inlineStr">
        <is>
          <t>Push permission granted.</t>
        </is>
      </c>
      <c r="J91" s="27" t="inlineStr">
        <is>
          <t>Push notifications are received.</t>
        </is>
      </c>
      <c r="K91" s="27" t="inlineStr">
        <is>
          <t>REQ-NOTIF</t>
        </is>
      </c>
      <c r="L91" s="28" t="inlineStr">
        <is>
          <t>Not Run</t>
        </is>
      </c>
      <c r="M91" s="27" t="inlineStr"/>
      <c r="N91" s="27" t="inlineStr"/>
      <c r="O91" s="27" t="inlineStr"/>
    </row>
    <row r="92">
      <c r="A92" s="22" t="inlineStr">
        <is>
          <t>TC-SEC-001</t>
        </is>
      </c>
      <c r="B92" s="23" t="inlineStr">
        <is>
          <t>Security, PII &amp; Audit</t>
        </is>
      </c>
      <c r="C92" s="23" t="inlineStr">
        <is>
          <t>PII</t>
        </is>
      </c>
      <c r="D92" s="23" t="inlineStr">
        <is>
          <t>PII masking by policy</t>
        </is>
      </c>
      <c r="E92" s="24" t="inlineStr">
        <is>
          <t>High</t>
        </is>
      </c>
      <c r="F92" s="23" t="inlineStr">
        <is>
          <t>Security</t>
        </is>
      </c>
      <c r="G92" s="23" t="inlineStr">
        <is>
          <t>Restricted user</t>
        </is>
      </c>
      <c r="H92" s="23" t="inlineStr">
        <is>
          <t>Web</t>
        </is>
      </c>
      <c r="I92" s="23" t="inlineStr">
        <is>
          <t>PII policies configured.</t>
        </is>
      </c>
      <c r="J92" s="23" t="inlineStr">
        <is>
          <t>Sensitive fields are masked for unauthorised roles.</t>
        </is>
      </c>
      <c r="K92" s="23" t="inlineStr">
        <is>
          <t>REQ-SEC-PII</t>
        </is>
      </c>
      <c r="L92" s="25" t="inlineStr">
        <is>
          <t>Not Run</t>
        </is>
      </c>
      <c r="M92" s="23" t="inlineStr"/>
      <c r="N92" s="23" t="inlineStr"/>
      <c r="O92" s="23" t="inlineStr"/>
    </row>
    <row r="93">
      <c r="A93" s="26" t="inlineStr">
        <is>
          <t>TC-SEC-002</t>
        </is>
      </c>
      <c r="B93" s="27" t="inlineStr">
        <is>
          <t>Security, PII &amp; Audit</t>
        </is>
      </c>
      <c r="C93" s="27" t="inlineStr">
        <is>
          <t>Audit</t>
        </is>
      </c>
      <c r="D93" s="27" t="inlineStr">
        <is>
          <t>Audit on sensitive action</t>
        </is>
      </c>
      <c r="E93" s="29" t="inlineStr">
        <is>
          <t>Medium</t>
        </is>
      </c>
      <c r="F93" s="27" t="inlineStr">
        <is>
          <t>Security</t>
        </is>
      </c>
      <c r="G93" s="27" t="inlineStr">
        <is>
          <t>Any privileged user</t>
        </is>
      </c>
      <c r="H93" s="27" t="inlineStr">
        <is>
          <t>Web</t>
        </is>
      </c>
      <c r="I93" s="27" t="inlineStr">
        <is>
          <t>Auditing enabled.</t>
        </is>
      </c>
      <c r="J93" s="27" t="inlineStr">
        <is>
          <t>Sensitive actions are recorded.</t>
        </is>
      </c>
      <c r="K93" s="27" t="inlineStr">
        <is>
          <t>REQ-SEC-Audit</t>
        </is>
      </c>
      <c r="L93" s="28" t="inlineStr">
        <is>
          <t>Not Run</t>
        </is>
      </c>
      <c r="M93" s="27" t="inlineStr"/>
      <c r="N93" s="27" t="inlineStr"/>
      <c r="O93" s="27" t="inlineStr"/>
    </row>
    <row r="94">
      <c r="A94" s="22" t="inlineStr">
        <is>
          <t>TC-SEC-003</t>
        </is>
      </c>
      <c r="B94" s="23" t="inlineStr">
        <is>
          <t>Security, PII &amp; Audit</t>
        </is>
      </c>
      <c r="C94" s="23" t="inlineStr">
        <is>
          <t>Isolation</t>
        </is>
      </c>
      <c r="D94" s="23" t="inlineStr">
        <is>
          <t>Tenant data isolation (negative)</t>
        </is>
      </c>
      <c r="E94" s="24" t="inlineStr">
        <is>
          <t>High</t>
        </is>
      </c>
      <c r="F94" s="23" t="inlineStr">
        <is>
          <t>Security</t>
        </is>
      </c>
      <c r="G94" s="23" t="inlineStr">
        <is>
          <t>Cross-tenant attempt</t>
        </is>
      </c>
      <c r="H94" s="23" t="inlineStr">
        <is>
          <t>Both</t>
        </is>
      </c>
      <c r="I94" s="23" t="inlineStr">
        <is>
          <t>Two tenants exist.</t>
        </is>
      </c>
      <c r="J94" s="23" t="inlineStr">
        <is>
          <t>No data crosses the tenant boundary.</t>
        </is>
      </c>
      <c r="K94" s="23" t="inlineStr">
        <is>
          <t>REQ-SEC-Isolation</t>
        </is>
      </c>
      <c r="L94" s="25" t="inlineStr">
        <is>
          <t>Not Run</t>
        </is>
      </c>
      <c r="M94" s="23" t="inlineStr"/>
      <c r="N94" s="23" t="inlineStr"/>
      <c r="O94" s="23" t="inlineStr"/>
    </row>
    <row r="95">
      <c r="A95" s="26" t="inlineStr">
        <is>
          <t>TC-INT-001</t>
        </is>
      </c>
      <c r="B95" s="27" t="inlineStr">
        <is>
          <t>Integration Hub</t>
        </is>
      </c>
      <c r="C95" s="27" t="inlineStr">
        <is>
          <t>MIS</t>
        </is>
      </c>
      <c r="D95" s="27" t="inlineStr">
        <is>
          <t>MIS sync error queue</t>
        </is>
      </c>
      <c r="E95" s="29" t="inlineStr">
        <is>
          <t>Medium</t>
        </is>
      </c>
      <c r="F95" s="27" t="inlineStr">
        <is>
          <t>Integration</t>
        </is>
      </c>
      <c r="G95" s="27" t="inlineStr">
        <is>
          <t>School Admin</t>
        </is>
      </c>
      <c r="H95" s="27" t="inlineStr">
        <is>
          <t>Web</t>
        </is>
      </c>
      <c r="I95" s="27" t="inlineStr">
        <is>
          <t>MIS (e.g. SIMS) integration configured.</t>
        </is>
      </c>
      <c r="J95" s="27" t="inlineStr">
        <is>
          <t>Bad records are queued with guidance, good ones import.</t>
        </is>
      </c>
      <c r="K95" s="27" t="inlineStr">
        <is>
          <t>REQ-INT</t>
        </is>
      </c>
      <c r="L95" s="28" t="inlineStr">
        <is>
          <t>Not Run</t>
        </is>
      </c>
      <c r="M95" s="27" t="inlineStr"/>
      <c r="N95" s="27" t="inlineStr"/>
      <c r="O95" s="27" t="inlineStr"/>
    </row>
    <row r="96">
      <c r="A96" s="22" t="inlineStr">
        <is>
          <t>TC-INT-002</t>
        </is>
      </c>
      <c r="B96" s="23" t="inlineStr">
        <is>
          <t>Integration Hub</t>
        </is>
      </c>
      <c r="C96" s="23" t="inlineStr">
        <is>
          <t>Setup</t>
        </is>
      </c>
      <c r="D96" s="23" t="inlineStr">
        <is>
          <t>Configure an integration</t>
        </is>
      </c>
      <c r="E96" s="30" t="inlineStr">
        <is>
          <t>Low</t>
        </is>
      </c>
      <c r="F96" s="23" t="inlineStr">
        <is>
          <t>Functional</t>
        </is>
      </c>
      <c r="G96" s="23" t="inlineStr">
        <is>
          <t>School Admin</t>
        </is>
      </c>
      <c r="H96" s="23" t="inlineStr">
        <is>
          <t>Web</t>
        </is>
      </c>
      <c r="I96" s="23" t="inlineStr">
        <is>
          <t>Admin has integration rights.</t>
        </is>
      </c>
      <c r="J96" s="23" t="inlineStr">
        <is>
          <t>Connection can be set up and tested.</t>
        </is>
      </c>
      <c r="K96" s="23" t="inlineStr">
        <is>
          <t>REQ-INT</t>
        </is>
      </c>
      <c r="L96" s="25" t="inlineStr">
        <is>
          <t>Not Run</t>
        </is>
      </c>
      <c r="M96" s="23" t="inlineStr"/>
      <c r="N96" s="23" t="inlineStr"/>
      <c r="O96" s="23" t="inlineStr"/>
    </row>
    <row r="97">
      <c r="A97" s="26" t="inlineStr">
        <is>
          <t>TC-SUP-001</t>
        </is>
      </c>
      <c r="B97" s="27" t="inlineStr">
        <is>
          <t>Support Tickets</t>
        </is>
      </c>
      <c r="C97" s="27" t="inlineStr">
        <is>
          <t>Ticket</t>
        </is>
      </c>
      <c r="D97" s="27" t="inlineStr">
        <is>
          <t>Raise a support ticket</t>
        </is>
      </c>
      <c r="E97" s="29" t="inlineStr">
        <is>
          <t>Medium</t>
        </is>
      </c>
      <c r="F97" s="27" t="inlineStr">
        <is>
          <t>Functional</t>
        </is>
      </c>
      <c r="G97" s="27" t="inlineStr">
        <is>
          <t>Any user</t>
        </is>
      </c>
      <c r="H97" s="27" t="inlineStr">
        <is>
          <t>Both</t>
        </is>
      </c>
      <c r="I97" s="27" t="inlineStr">
        <is>
          <t>User signed in.</t>
        </is>
      </c>
      <c r="J97" s="27" t="inlineStr">
        <is>
          <t>Ticket is created with a reference.</t>
        </is>
      </c>
      <c r="K97" s="27" t="inlineStr">
        <is>
          <t>REQ-SUP</t>
        </is>
      </c>
      <c r="L97" s="28" t="inlineStr">
        <is>
          <t>Not Run</t>
        </is>
      </c>
      <c r="M97" s="27" t="inlineStr"/>
      <c r="N97" s="27" t="inlineStr"/>
      <c r="O97" s="27" t="inlineStr"/>
    </row>
    <row r="98">
      <c r="A98" s="22" t="inlineStr">
        <is>
          <t>TC-SUP-002</t>
        </is>
      </c>
      <c r="B98" s="23" t="inlineStr">
        <is>
          <t>Support Tickets</t>
        </is>
      </c>
      <c r="C98" s="23" t="inlineStr">
        <is>
          <t>Ticket</t>
        </is>
      </c>
      <c r="D98" s="23" t="inlineStr">
        <is>
          <t>Reply and close</t>
        </is>
      </c>
      <c r="E98" s="30" t="inlineStr">
        <is>
          <t>Low</t>
        </is>
      </c>
      <c r="F98" s="23" t="inlineStr">
        <is>
          <t>Functional</t>
        </is>
      </c>
      <c r="G98" s="23" t="inlineStr">
        <is>
          <t>Any user</t>
        </is>
      </c>
      <c r="H98" s="23" t="inlineStr">
        <is>
          <t>Both</t>
        </is>
      </c>
      <c r="I98" s="23" t="inlineStr">
        <is>
          <t>An open ticket exists.</t>
        </is>
      </c>
      <c r="J98" s="23" t="inlineStr">
        <is>
          <t>Reply threads and closing works.</t>
        </is>
      </c>
      <c r="K98" s="23" t="inlineStr">
        <is>
          <t>REQ-SUP</t>
        </is>
      </c>
      <c r="L98" s="25" t="inlineStr">
        <is>
          <t>Not Run</t>
        </is>
      </c>
      <c r="M98" s="23" t="inlineStr"/>
      <c r="N98" s="23" t="inlineStr"/>
      <c r="O98" s="23" t="inlineStr"/>
    </row>
    <row r="99">
      <c r="A99" s="26" t="inlineStr">
        <is>
          <t>TC-SUP-003</t>
        </is>
      </c>
      <c r="B99" s="27" t="inlineStr">
        <is>
          <t>Support Tickets</t>
        </is>
      </c>
      <c r="C99" s="27" t="inlineStr">
        <is>
          <t>SLA</t>
        </is>
      </c>
      <c r="D99" s="27" t="inlineStr">
        <is>
          <t>SLA breach indicator</t>
        </is>
      </c>
      <c r="E99" s="30" t="inlineStr">
        <is>
          <t>Low</t>
        </is>
      </c>
      <c r="F99" s="27" t="inlineStr">
        <is>
          <t>Functional</t>
        </is>
      </c>
      <c r="G99" s="27" t="inlineStr">
        <is>
          <t>Support reviewer</t>
        </is>
      </c>
      <c r="H99" s="27" t="inlineStr">
        <is>
          <t>Both</t>
        </is>
      </c>
      <c r="I99" s="27" t="inlineStr">
        <is>
          <t>A ticket exceeds its SLA.</t>
        </is>
      </c>
      <c r="J99" s="27" t="inlineStr">
        <is>
          <t>Breach is flagged.</t>
        </is>
      </c>
      <c r="K99" s="27" t="inlineStr">
        <is>
          <t>REQ-SUP</t>
        </is>
      </c>
      <c r="L99" s="28" t="inlineStr">
        <is>
          <t>Not Run</t>
        </is>
      </c>
      <c r="M99" s="27" t="inlineStr"/>
      <c r="N99" s="27" t="inlineStr"/>
      <c r="O99" s="27" t="inlineStr"/>
    </row>
    <row r="100">
      <c r="A100" s="22" t="inlineStr">
        <is>
          <t>TC-MOB-001</t>
        </is>
      </c>
      <c r="B100" s="23" t="inlineStr">
        <is>
          <t>Mobile Platform / Bootstrap</t>
        </is>
      </c>
      <c r="C100" s="23" t="inlineStr">
        <is>
          <t>Bootstrap</t>
        </is>
      </c>
      <c r="D100" s="23" t="inlineStr">
        <is>
          <t>Bootstrap payload correctness</t>
        </is>
      </c>
      <c r="E100" s="29" t="inlineStr">
        <is>
          <t>Medium</t>
        </is>
      </c>
      <c r="F100" s="23" t="inlineStr">
        <is>
          <t>Functional</t>
        </is>
      </c>
      <c r="G100" s="23" t="inlineStr">
        <is>
          <t>Any mobile user</t>
        </is>
      </c>
      <c r="H100" s="23" t="inlineStr">
        <is>
          <t>Mobile</t>
        </is>
      </c>
      <c r="I100" s="23" t="inlineStr">
        <is>
          <t>User signs in on mobile.</t>
        </is>
      </c>
      <c r="J100" s="23" t="inlineStr">
        <is>
          <t>Bootstrap returns identity, role, schools, children, unread, security.</t>
        </is>
      </c>
      <c r="K100" s="23" t="inlineStr">
        <is>
          <t>REQ-MOB</t>
        </is>
      </c>
      <c r="L100" s="25" t="inlineStr">
        <is>
          <t>Not Run</t>
        </is>
      </c>
      <c r="M100" s="23" t="inlineStr"/>
      <c r="N100" s="23" t="inlineStr"/>
      <c r="O100" s="23" t="inlineStr"/>
    </row>
    <row r="101">
      <c r="A101" s="26" t="inlineStr">
        <is>
          <t>TC-MOB-002</t>
        </is>
      </c>
      <c r="B101" s="27" t="inlineStr">
        <is>
          <t>Mobile Platform / Bootstrap</t>
        </is>
      </c>
      <c r="C101" s="27" t="inlineStr">
        <is>
          <t>Resilience</t>
        </is>
      </c>
      <c r="D101" s="27" t="inlineStr">
        <is>
          <t>Bootstrap tolerant of un-migrated columns</t>
        </is>
      </c>
      <c r="E101" s="30" t="inlineStr">
        <is>
          <t>Low</t>
        </is>
      </c>
      <c r="F101" s="27" t="inlineStr">
        <is>
          <t>Negative</t>
        </is>
      </c>
      <c r="G101" s="27" t="inlineStr">
        <is>
          <t>Any mobile user</t>
        </is>
      </c>
      <c r="H101" s="27" t="inlineStr">
        <is>
          <t>Mobile</t>
        </is>
      </c>
      <c r="I101" s="27" t="inlineStr">
        <is>
          <t>Some optional columns not yet migrated.</t>
        </is>
      </c>
      <c r="J101" s="27" t="inlineStr">
        <is>
          <t>Bootstrap does not 500.</t>
        </is>
      </c>
      <c r="K101" s="27" t="inlineStr">
        <is>
          <t>REQ-MOB</t>
        </is>
      </c>
      <c r="L101" s="28" t="inlineStr">
        <is>
          <t>Not Run</t>
        </is>
      </c>
      <c r="M101" s="27" t="inlineStr"/>
      <c r="N101" s="27" t="inlineStr"/>
      <c r="O101" s="27" t="inlineStr"/>
    </row>
    <row r="102">
      <c r="A102" s="22" t="inlineStr">
        <is>
          <t>TC-MOB-003</t>
        </is>
      </c>
      <c r="B102" s="23" t="inlineStr">
        <is>
          <t>Mobile Platform / Bootstrap</t>
        </is>
      </c>
      <c r="C102" s="23" t="inlineStr">
        <is>
          <t>Offline</t>
        </is>
      </c>
      <c r="D102" s="23" t="inlineStr">
        <is>
          <t>Persisted/last-known state</t>
        </is>
      </c>
      <c r="E102" s="30" t="inlineStr">
        <is>
          <t>Low</t>
        </is>
      </c>
      <c r="F102" s="23" t="inlineStr">
        <is>
          <t>Functional</t>
        </is>
      </c>
      <c r="G102" s="23" t="inlineStr">
        <is>
          <t>Any mobile user</t>
        </is>
      </c>
      <c r="H102" s="23" t="inlineStr">
        <is>
          <t>Mobile</t>
        </is>
      </c>
      <c r="I102" s="23" t="inlineStr">
        <is>
          <t>User previously loaded data.</t>
        </is>
      </c>
      <c r="J102" s="23" t="inlineStr">
        <is>
          <t>Cached data shows when refresh fails.</t>
        </is>
      </c>
      <c r="K102" s="23" t="inlineStr">
        <is>
          <t>REQ-MOB-Offline</t>
        </is>
      </c>
      <c r="L102" s="25" t="inlineStr">
        <is>
          <t>Not Run</t>
        </is>
      </c>
      <c r="M102" s="23" t="inlineStr"/>
      <c r="N102" s="23" t="inlineStr"/>
      <c r="O102" s="23" t="inlineStr"/>
    </row>
    <row r="103">
      <c r="A103" s="26" t="inlineStr">
        <is>
          <t>TC-REG-001</t>
        </is>
      </c>
      <c r="B103" s="27" t="inlineStr">
        <is>
          <t>Cross-cutting &amp; Regression</t>
        </is>
      </c>
      <c r="C103" s="27" t="inlineStr">
        <is>
          <t>Refresh</t>
        </is>
      </c>
      <c r="D103" s="27" t="inlineStr">
        <is>
          <t>State persists across browser refresh</t>
        </is>
      </c>
      <c r="E103" s="29" t="inlineStr">
        <is>
          <t>Medium</t>
        </is>
      </c>
      <c r="F103" s="27" t="inlineStr">
        <is>
          <t>Functional</t>
        </is>
      </c>
      <c r="G103" s="27" t="inlineStr">
        <is>
          <t>Any web user</t>
        </is>
      </c>
      <c r="H103" s="27" t="inlineStr">
        <is>
          <t>Web</t>
        </is>
      </c>
      <c r="I103" s="27" t="inlineStr">
        <is>
          <t>A list with filters/sort/search and tabs.</t>
        </is>
      </c>
      <c r="J103" s="27" t="inlineStr">
        <is>
          <t>Active tab, filters, sort and search survive refresh.</t>
        </is>
      </c>
      <c r="K103" s="27" t="inlineStr">
        <is>
          <t>REQ-REFRESH</t>
        </is>
      </c>
      <c r="L103" s="28" t="inlineStr">
        <is>
          <t>Not Run</t>
        </is>
      </c>
      <c r="M103" s="27" t="inlineStr"/>
      <c r="N103" s="27" t="inlineStr"/>
      <c r="O103" s="27" t="inlineStr"/>
    </row>
    <row r="104">
      <c r="A104" s="22" t="inlineStr">
        <is>
          <t>TC-REG-002</t>
        </is>
      </c>
      <c r="B104" s="23" t="inlineStr">
        <is>
          <t>Cross-cutting &amp; Regression</t>
        </is>
      </c>
      <c r="C104" s="23" t="inlineStr">
        <is>
          <t>Parity</t>
        </is>
      </c>
      <c r="D104" s="23" t="inlineStr">
        <is>
          <t>Web/mobile feature parity</t>
        </is>
      </c>
      <c r="E104" s="30" t="inlineStr">
        <is>
          <t>Low</t>
        </is>
      </c>
      <c r="F104" s="23" t="inlineStr">
        <is>
          <t>Functional</t>
        </is>
      </c>
      <c r="G104" s="23" t="inlineStr">
        <is>
          <t>Any user</t>
        </is>
      </c>
      <c r="H104" s="23" t="inlineStr">
        <is>
          <t>Both</t>
        </is>
      </c>
      <c r="I104" s="23" t="inlineStr">
        <is>
          <t>A feature exists on both surfaces.</t>
        </is>
      </c>
      <c r="J104" s="23" t="inlineStr">
        <is>
          <t>Behaviour is consistent across web and mobile.</t>
        </is>
      </c>
      <c r="K104" s="23" t="inlineStr">
        <is>
          <t>REQ-Parity</t>
        </is>
      </c>
      <c r="L104" s="25" t="inlineStr">
        <is>
          <t>Not Run</t>
        </is>
      </c>
      <c r="M104" s="23" t="inlineStr"/>
      <c r="N104" s="23" t="inlineStr"/>
      <c r="O104" s="23" t="inlineStr"/>
    </row>
    <row r="105">
      <c r="A105" s="26" t="inlineStr">
        <is>
          <t>TC-REG-003</t>
        </is>
      </c>
      <c r="B105" s="27" t="inlineStr">
        <is>
          <t>Cross-cutting &amp; Regression</t>
        </is>
      </c>
      <c r="C105" s="27" t="inlineStr">
        <is>
          <t>Perf</t>
        </is>
      </c>
      <c r="D105" s="27" t="inlineStr">
        <is>
          <t>Key screens load within budget</t>
        </is>
      </c>
      <c r="E105" s="30" t="inlineStr">
        <is>
          <t>Low</t>
        </is>
      </c>
      <c r="F105" s="27" t="inlineStr">
        <is>
          <t>Non-functional</t>
        </is>
      </c>
      <c r="G105" s="27" t="inlineStr">
        <is>
          <t>Any user</t>
        </is>
      </c>
      <c r="H105" s="27" t="inlineStr">
        <is>
          <t>Both</t>
        </is>
      </c>
      <c r="I105" s="27" t="inlineStr">
        <is>
          <t>Representative data volume.</t>
        </is>
      </c>
      <c r="J105" s="27" t="inlineStr">
        <is>
          <t>Primary dashboards load within an acceptable time.</t>
        </is>
      </c>
      <c r="K105" s="27" t="inlineStr">
        <is>
          <t>REQ-Perf</t>
        </is>
      </c>
      <c r="L105" s="28" t="inlineStr">
        <is>
          <t>Not Run</t>
        </is>
      </c>
      <c r="M105" s="27" t="inlineStr"/>
      <c r="N105" s="27" t="inlineStr"/>
      <c r="O105" s="27" t="inlineStr"/>
    </row>
    <row r="106">
      <c r="A106" s="22" t="inlineStr">
        <is>
          <t>TC-CRM-001</t>
        </is>
      </c>
      <c r="B106" s="23" t="inlineStr">
        <is>
          <t>CRM Campaigns</t>
        </is>
      </c>
      <c r="C106" s="23" t="inlineStr">
        <is>
          <t>Draft</t>
        </is>
      </c>
      <c r="D106" s="23" t="inlineStr">
        <is>
          <t>View / edit a draft campaign</t>
        </is>
      </c>
      <c r="E106" s="24" t="inlineStr">
        <is>
          <t>High</t>
        </is>
      </c>
      <c r="F106" s="23" t="inlineStr">
        <is>
          <t>Functional</t>
        </is>
      </c>
      <c r="G106" s="23" t="inlineStr">
        <is>
          <t>Super Admin / Account Manager</t>
        </is>
      </c>
      <c r="H106" s="23" t="inlineStr">
        <is>
          <t>Web</t>
        </is>
      </c>
      <c r="I106" s="23" t="inlineStr">
        <is>
          <t>A campaign exists in Draft status.</t>
        </is>
      </c>
      <c r="J106" s="23" t="inlineStr">
        <is>
          <t>The draft opens, is editable and saves via PATCH.</t>
        </is>
      </c>
      <c r="K106" s="23" t="inlineStr">
        <is>
          <t>REQ-CRM-DraftView</t>
        </is>
      </c>
      <c r="L106" s="25" t="inlineStr">
        <is>
          <t>Not Run</t>
        </is>
      </c>
      <c r="M106" s="23" t="inlineStr"/>
      <c r="N106" s="23" t="inlineStr"/>
      <c r="O106" s="23" t="inlineStr"/>
    </row>
    <row r="107">
      <c r="A107" s="26" t="inlineStr">
        <is>
          <t>TC-CRM-002</t>
        </is>
      </c>
      <c r="B107" s="27" t="inlineStr">
        <is>
          <t>CRM Campaigns</t>
        </is>
      </c>
      <c r="C107" s="27" t="inlineStr">
        <is>
          <t>Draft</t>
        </is>
      </c>
      <c r="D107" s="27" t="inlineStr">
        <is>
          <t>Non-draft campaign is read-only</t>
        </is>
      </c>
      <c r="E107" s="29" t="inlineStr">
        <is>
          <t>Medium</t>
        </is>
      </c>
      <c r="F107" s="27" t="inlineStr">
        <is>
          <t>Negative</t>
        </is>
      </c>
      <c r="G107" s="27" t="inlineStr">
        <is>
          <t>Super Admin</t>
        </is>
      </c>
      <c r="H107" s="27" t="inlineStr">
        <is>
          <t>Web</t>
        </is>
      </c>
      <c r="I107" s="27" t="inlineStr">
        <is>
          <t>A sent/scheduled/cancelled campaign exists.</t>
        </is>
      </c>
      <c r="J107" s="27" t="inlineStr">
        <is>
          <t>Editing is blocked server-side; view is read-only.</t>
        </is>
      </c>
      <c r="K107" s="27" t="inlineStr">
        <is>
          <t>REQ-CRM-DraftView</t>
        </is>
      </c>
      <c r="L107" s="28" t="inlineStr">
        <is>
          <t>Not Run</t>
        </is>
      </c>
      <c r="M107" s="27" t="inlineStr"/>
      <c r="N107" s="27" t="inlineStr"/>
      <c r="O107" s="27" t="inlineStr"/>
    </row>
    <row r="108">
      <c r="A108" s="22" t="inlineStr">
        <is>
          <t>TC-NAV-001</t>
        </is>
      </c>
      <c r="B108" s="23" t="inlineStr">
        <is>
          <t>In-progress Navigation Guard</t>
        </is>
      </c>
      <c r="C108" s="23" t="inlineStr">
        <is>
          <t>Import</t>
        </is>
      </c>
      <c r="D108" s="23" t="inlineStr">
        <is>
          <t>Warn on navigate-away during import</t>
        </is>
      </c>
      <c r="E108" s="29" t="inlineStr">
        <is>
          <t>Medium</t>
        </is>
      </c>
      <c r="F108" s="23" t="inlineStr">
        <is>
          <t>Functional</t>
        </is>
      </c>
      <c r="G108" s="23" t="inlineStr">
        <is>
          <t>Any importer</t>
        </is>
      </c>
      <c r="H108" s="23" t="inlineStr">
        <is>
          <t>Web</t>
        </is>
      </c>
      <c r="I108" s="23" t="inlineStr">
        <is>
          <t>A CSV import is running.</t>
        </is>
      </c>
      <c r="J108" s="23" t="inlineStr">
        <is>
          <t>Leaving/refreshing prompts a warning; clears on completion.</t>
        </is>
      </c>
      <c r="K108" s="23" t="inlineStr">
        <is>
          <t>REQ-NAV-Guard</t>
        </is>
      </c>
      <c r="L108" s="25" t="inlineStr">
        <is>
          <t>Not Run</t>
        </is>
      </c>
      <c r="M108" s="23" t="inlineStr"/>
      <c r="N108" s="23" t="inlineStr"/>
      <c r="O108" s="23" t="inlineStr"/>
    </row>
    <row r="109">
      <c r="A109" s="26" t="inlineStr">
        <is>
          <t>TC-NAV-002</t>
        </is>
      </c>
      <c r="B109" s="27" t="inlineStr">
        <is>
          <t>In-progress Navigation Guard</t>
        </is>
      </c>
      <c r="C109" s="27" t="inlineStr">
        <is>
          <t>Download</t>
        </is>
      </c>
      <c r="D109" s="27" t="inlineStr">
        <is>
          <t>Warn on navigate-away during download</t>
        </is>
      </c>
      <c r="E109" s="30" t="inlineStr">
        <is>
          <t>Low</t>
        </is>
      </c>
      <c r="F109" s="27" t="inlineStr">
        <is>
          <t>Functional</t>
        </is>
      </c>
      <c r="G109" s="27" t="inlineStr">
        <is>
          <t>Any user</t>
        </is>
      </c>
      <c r="H109" s="27" t="inlineStr">
        <is>
          <t>Web</t>
        </is>
      </c>
      <c r="I109" s="27" t="inlineStr">
        <is>
          <t>A governed client download is in progress.</t>
        </is>
      </c>
      <c r="J109" s="27" t="inlineStr">
        <is>
          <t>The guard activates during the download and clears after.</t>
        </is>
      </c>
      <c r="K109" s="27" t="inlineStr">
        <is>
          <t>REQ-NAV-Guard</t>
        </is>
      </c>
      <c r="L109" s="28" t="inlineStr">
        <is>
          <t>Not Run</t>
        </is>
      </c>
      <c r="M109" s="27" t="inlineStr"/>
      <c r="N109" s="27" t="inlineStr"/>
      <c r="O109" s="27" t="inlineStr"/>
    </row>
    <row r="110">
      <c r="A110" s="22" t="inlineStr">
        <is>
          <t>TC-IMP-001</t>
        </is>
      </c>
      <c r="B110" s="23" t="inlineStr">
        <is>
          <t>Data Import (CSV)</t>
        </is>
      </c>
      <c r="C110" s="23" t="inlineStr">
        <is>
          <t>Performance</t>
        </is>
      </c>
      <c r="D110" s="23" t="inlineStr">
        <is>
          <t>Large attendance import completes quickly</t>
        </is>
      </c>
      <c r="E110" s="24" t="inlineStr">
        <is>
          <t>High</t>
        </is>
      </c>
      <c r="F110" s="23" t="inlineStr">
        <is>
          <t>Regression</t>
        </is>
      </c>
      <c r="G110" s="23" t="inlineStr">
        <is>
          <t>School Admin</t>
        </is>
      </c>
      <c r="H110" s="23" t="inlineStr">
        <is>
          <t>Web</t>
        </is>
      </c>
      <c r="I110" s="23" t="inlineStr">
        <is>
          <t>A whole-school attendance CSV (thousands of rows).</t>
        </is>
      </c>
      <c r="J110" s="23" t="inlineStr">
        <is>
          <t>Import completes in seconds (was hanging ~2h before the batch fix).</t>
        </is>
      </c>
      <c r="K110" s="23" t="inlineStr">
        <is>
          <t>REQ-IMP-Perf;REQ-BUG-ImportHang</t>
        </is>
      </c>
      <c r="L110" s="25" t="inlineStr">
        <is>
          <t>Not Run</t>
        </is>
      </c>
      <c r="M110" s="23" t="inlineStr"/>
      <c r="N110" s="23" t="inlineStr"/>
      <c r="O110" s="23" t="inlineStr"/>
    </row>
    <row r="111">
      <c r="A111" s="26" t="inlineStr">
        <is>
          <t>TC-IMP-002</t>
        </is>
      </c>
      <c r="B111" s="27" t="inlineStr">
        <is>
          <t>Data Import (CSV)</t>
        </is>
      </c>
      <c r="C111" s="27" t="inlineStr">
        <is>
          <t>Excel guard</t>
        </is>
      </c>
      <c r="D111" s="27" t="inlineStr">
        <is>
          <t>Excel (.xlsx) upload is guided to CSV</t>
        </is>
      </c>
      <c r="E111" s="29" t="inlineStr">
        <is>
          <t>Medium</t>
        </is>
      </c>
      <c r="F111" s="27" t="inlineStr">
        <is>
          <t>Negative</t>
        </is>
      </c>
      <c r="G111" s="27" t="inlineStr">
        <is>
          <t>Any importer</t>
        </is>
      </c>
      <c r="H111" s="27" t="inlineStr">
        <is>
          <t>Web</t>
        </is>
      </c>
      <c r="I111" s="27" t="inlineStr">
        <is>
          <t>User selects an .xlsx file.</t>
        </is>
      </c>
      <c r="J111" s="27" t="inlineStr">
        <is>
          <t>A clear message asks them to save as CSV UTF-8; no garbage processed.</t>
        </is>
      </c>
      <c r="K111" s="27" t="inlineStr">
        <is>
          <t>REQ-IMP-Excel</t>
        </is>
      </c>
      <c r="L111" s="28" t="inlineStr">
        <is>
          <t>Not Run</t>
        </is>
      </c>
      <c r="M111" s="27" t="inlineStr"/>
      <c r="N111" s="27" t="inlineStr"/>
      <c r="O111" s="27" t="inlineStr"/>
    </row>
    <row r="112">
      <c r="A112" s="22" t="inlineStr">
        <is>
          <t>TC-IMP-003</t>
        </is>
      </c>
      <c r="B112" s="23" t="inlineStr">
        <is>
          <t>Data Import (CSV)</t>
        </is>
      </c>
      <c r="C112" s="23" t="inlineStr">
        <is>
          <t>Clubs</t>
        </is>
      </c>
      <c r="D112" s="23" t="inlineStr">
        <is>
          <t>Import clubs &amp; activities</t>
        </is>
      </c>
      <c r="E112" s="29" t="inlineStr">
        <is>
          <t>Medium</t>
        </is>
      </c>
      <c r="F112" s="23" t="inlineStr">
        <is>
          <t>Functional</t>
        </is>
      </c>
      <c r="G112" s="23" t="inlineStr">
        <is>
          <t>School Admin</t>
        </is>
      </c>
      <c r="H112" s="23" t="inlineStr">
        <is>
          <t>Web</t>
        </is>
      </c>
      <c r="I112" s="23" t="inlineStr">
        <is>
          <t>Clubs template completed.</t>
        </is>
      </c>
      <c r="J112" s="23" t="inlineStr">
        <is>
          <t>Clubs are created/updated (matched by name).</t>
        </is>
      </c>
      <c r="K112" s="23" t="inlineStr">
        <is>
          <t>REQ-IMP-Clubs</t>
        </is>
      </c>
      <c r="L112" s="25" t="inlineStr">
        <is>
          <t>Not Run</t>
        </is>
      </c>
      <c r="M112" s="23" t="inlineStr"/>
      <c r="N112" s="23" t="inlineStr"/>
      <c r="O112" s="23" t="inlineStr"/>
    </row>
    <row r="113">
      <c r="A113" s="26" t="inlineStr">
        <is>
          <t>TC-IMP-004</t>
        </is>
      </c>
      <c r="B113" s="27" t="inlineStr">
        <is>
          <t>Data Import (CSV)</t>
        </is>
      </c>
      <c r="C113" s="27" t="inlineStr">
        <is>
          <t>Timetables</t>
        </is>
      </c>
      <c r="D113" s="27" t="inlineStr">
        <is>
          <t>Import class timetables</t>
        </is>
      </c>
      <c r="E113" s="29" t="inlineStr">
        <is>
          <t>Medium</t>
        </is>
      </c>
      <c r="F113" s="27" t="inlineStr">
        <is>
          <t>Functional</t>
        </is>
      </c>
      <c r="G113" s="27" t="inlineStr">
        <is>
          <t>School Admin</t>
        </is>
      </c>
      <c r="H113" s="27" t="inlineStr">
        <is>
          <t>Web</t>
        </is>
      </c>
      <c r="I113" s="27" t="inlineStr">
        <is>
          <t>Timetable template completed.</t>
        </is>
      </c>
      <c r="J113" s="27" t="inlineStr">
        <is>
          <t>Lessons created (day Mon–Sun/1–7, HH:MM; teacher email links staff).</t>
        </is>
      </c>
      <c r="K113" s="27" t="inlineStr">
        <is>
          <t>REQ-IMP-Timetable</t>
        </is>
      </c>
      <c r="L113" s="28" t="inlineStr">
        <is>
          <t>Not Run</t>
        </is>
      </c>
      <c r="M113" s="27" t="inlineStr"/>
      <c r="N113" s="27" t="inlineStr"/>
      <c r="O113" s="27" t="inlineStr"/>
    </row>
    <row r="114">
      <c r="A114" s="22" t="inlineStr">
        <is>
          <t>TC-IMP-005</t>
        </is>
      </c>
      <c r="B114" s="23" t="inlineStr">
        <is>
          <t>Data Import (CSV)</t>
        </is>
      </c>
      <c r="C114" s="23" t="inlineStr">
        <is>
          <t>Behaviour</t>
        </is>
      </c>
      <c r="D114" s="23" t="inlineStr">
        <is>
          <t>Import behaviour records</t>
        </is>
      </c>
      <c r="E114" s="29" t="inlineStr">
        <is>
          <t>Medium</t>
        </is>
      </c>
      <c r="F114" s="23" t="inlineStr">
        <is>
          <t>Functional</t>
        </is>
      </c>
      <c r="G114" s="23" t="inlineStr">
        <is>
          <t>School Admin</t>
        </is>
      </c>
      <c r="H114" s="23" t="inlineStr">
        <is>
          <t>Web</t>
        </is>
      </c>
      <c r="I114" s="23" t="inlineStr">
        <is>
          <t>Behaviour template completed; pupils exist.</t>
        </is>
      </c>
      <c r="J114" s="23" t="inlineStr">
        <is>
          <t>Merits/incidents appended, matched to pupils by reference.</t>
        </is>
      </c>
      <c r="K114" s="23" t="inlineStr">
        <is>
          <t>REQ-IMP-Behaviour</t>
        </is>
      </c>
      <c r="L114" s="25" t="inlineStr">
        <is>
          <t>Not Run</t>
        </is>
      </c>
      <c r="M114" s="23" t="inlineStr"/>
      <c r="N114" s="23" t="inlineStr"/>
      <c r="O114" s="23" t="inlineStr"/>
    </row>
    <row r="115">
      <c r="A115" s="26" t="inlineStr">
        <is>
          <t>TC-IMP-006</t>
        </is>
      </c>
      <c r="B115" s="27" t="inlineStr">
        <is>
          <t>Data Import (CSV)</t>
        </is>
      </c>
      <c r="C115" s="27" t="inlineStr">
        <is>
          <t>Knowledge</t>
        </is>
      </c>
      <c r="D115" s="27" t="inlineStr">
        <is>
          <t>Import knowledge base documents</t>
        </is>
      </c>
      <c r="E115" s="30" t="inlineStr">
        <is>
          <t>Low</t>
        </is>
      </c>
      <c r="F115" s="27" t="inlineStr">
        <is>
          <t>Functional</t>
        </is>
      </c>
      <c r="G115" s="27" t="inlineStr">
        <is>
          <t>School Admin</t>
        </is>
      </c>
      <c r="H115" s="27" t="inlineStr">
        <is>
          <t>Web</t>
        </is>
      </c>
      <c r="I115" s="27" t="inlineStr">
        <is>
          <t>Knowledge template completed.</t>
        </is>
      </c>
      <c r="J115" s="27" t="inlineStr">
        <is>
          <t>Documents created/updated (matched by title), imported as drafts unless status set.</t>
        </is>
      </c>
      <c r="K115" s="27" t="inlineStr">
        <is>
          <t>REQ-IMP-Knowledge</t>
        </is>
      </c>
      <c r="L115" s="28" t="inlineStr">
        <is>
          <t>Not Run</t>
        </is>
      </c>
      <c r="M115" s="27" t="inlineStr"/>
      <c r="N115" s="27" t="inlineStr"/>
      <c r="O115" s="27" t="inlineStr"/>
    </row>
    <row r="116">
      <c r="A116" s="22" t="inlineStr">
        <is>
          <t>TC-IMP-007</t>
        </is>
      </c>
      <c r="B116" s="23" t="inlineStr">
        <is>
          <t>Data Import (CSV)</t>
        </is>
      </c>
      <c r="C116" s="23" t="inlineStr">
        <is>
          <t>Templates</t>
        </is>
      </c>
      <c r="D116" s="23" t="inlineStr">
        <is>
          <t>Download templates for new modules</t>
        </is>
      </c>
      <c r="E116" s="30" t="inlineStr">
        <is>
          <t>Low</t>
        </is>
      </c>
      <c r="F116" s="23" t="inlineStr">
        <is>
          <t>Functional</t>
        </is>
      </c>
      <c r="G116" s="23" t="inlineStr">
        <is>
          <t>Any importer</t>
        </is>
      </c>
      <c r="H116" s="23" t="inlineStr">
        <is>
          <t>Web</t>
        </is>
      </c>
      <c r="I116" s="23" t="inlineStr">
        <is>
          <t>New import modules available.</t>
        </is>
      </c>
      <c r="J116" s="23" t="inlineStr">
        <is>
          <t>Each module offers a template with headers + example row.</t>
        </is>
      </c>
      <c r="K116" s="23" t="inlineStr">
        <is>
          <t>REQ-IMP-Templates</t>
        </is>
      </c>
      <c r="L116" s="25" t="inlineStr">
        <is>
          <t>Not Run</t>
        </is>
      </c>
      <c r="M116" s="23" t="inlineStr"/>
      <c r="N116" s="23" t="inlineStr"/>
      <c r="O116" s="23" t="inlineStr"/>
    </row>
    <row r="117">
      <c r="A117" s="26" t="inlineStr">
        <is>
          <t>TC-IMP-008</t>
        </is>
      </c>
      <c r="B117" s="27" t="inlineStr">
        <is>
          <t>Data Import (CSV)</t>
        </is>
      </c>
      <c r="C117" s="27" t="inlineStr">
        <is>
          <t>Validation</t>
        </is>
      </c>
      <c r="D117" s="27" t="inlineStr">
        <is>
          <t>Row-level validation &amp; error report</t>
        </is>
      </c>
      <c r="E117" s="29" t="inlineStr">
        <is>
          <t>Medium</t>
        </is>
      </c>
      <c r="F117" s="27" t="inlineStr">
        <is>
          <t>Functional</t>
        </is>
      </c>
      <c r="G117" s="27" t="inlineStr">
        <is>
          <t>Any importer</t>
        </is>
      </c>
      <c r="H117" s="27" t="inlineStr">
        <is>
          <t>Web</t>
        </is>
      </c>
      <c r="I117" s="27" t="inlineStr">
        <is>
          <t>A file with some invalid rows.</t>
        </is>
      </c>
      <c r="J117" s="27" t="inlineStr">
        <is>
          <t>Valid rows import; invalid rows are listed with reasons.</t>
        </is>
      </c>
      <c r="K117" s="27" t="inlineStr">
        <is>
          <t>REQ-IMP-Validation</t>
        </is>
      </c>
      <c r="L117" s="28" t="inlineStr">
        <is>
          <t>Not Run</t>
        </is>
      </c>
      <c r="M117" s="27" t="inlineStr"/>
      <c r="N117" s="27" t="inlineStr"/>
      <c r="O117" s="27" t="inlineStr"/>
    </row>
    <row r="118">
      <c r="A118" s="22" t="inlineStr">
        <is>
          <t>TC-IMP-009</t>
        </is>
      </c>
      <c r="B118" s="23" t="inlineStr">
        <is>
          <t>Data Import (CSV)</t>
        </is>
      </c>
      <c r="C118" s="23" t="inlineStr">
        <is>
          <t>RBAC</t>
        </is>
      </c>
      <c r="D118" s="23" t="inlineStr">
        <is>
          <t>Teacher import limited to permitted types</t>
        </is>
      </c>
      <c r="E118" s="24" t="inlineStr">
        <is>
          <t>High</t>
        </is>
      </c>
      <c r="F118" s="23" t="inlineStr">
        <is>
          <t>Security</t>
        </is>
      </c>
      <c r="G118" s="23" t="inlineStr">
        <is>
          <t>Teacher (import_data)</t>
        </is>
      </c>
      <c r="H118" s="23" t="inlineStr">
        <is>
          <t>Web</t>
        </is>
      </c>
      <c r="I118" s="23" t="inlineStr">
        <is>
          <t>Teacher granted import_data.</t>
        </is>
      </c>
      <c r="J118" s="23" t="inlineStr">
        <is>
          <t>Only attendance/behaviour/pupil_reports are allowed; others 403.</t>
        </is>
      </c>
      <c r="K118" s="23" t="inlineStr">
        <is>
          <t>REQ-IMP-TeacherScope</t>
        </is>
      </c>
      <c r="L118" s="25" t="inlineStr">
        <is>
          <t>Not Run</t>
        </is>
      </c>
      <c r="M118" s="23" t="inlineStr"/>
      <c r="N118" s="23" t="inlineStr"/>
      <c r="O118" s="23" t="inlineStr"/>
    </row>
    <row r="119">
      <c r="A119" s="26" t="inlineStr">
        <is>
          <t>TC-IMP-010</t>
        </is>
      </c>
      <c r="B119" s="27" t="inlineStr">
        <is>
          <t>Data Import (CSV)</t>
        </is>
      </c>
      <c r="C119" s="27" t="inlineStr">
        <is>
          <t>RBAC</t>
        </is>
      </c>
      <c r="D119" s="27" t="inlineStr">
        <is>
          <t>Teacher import rejects out-of-scope pupils</t>
        </is>
      </c>
      <c r="E119" s="24" t="inlineStr">
        <is>
          <t>High</t>
        </is>
      </c>
      <c r="F119" s="27" t="inlineStr">
        <is>
          <t>Security</t>
        </is>
      </c>
      <c r="G119" s="27" t="inlineStr">
        <is>
          <t>Teacher (import_data)</t>
        </is>
      </c>
      <c r="H119" s="27" t="inlineStr">
        <is>
          <t>Web</t>
        </is>
      </c>
      <c r="I119" s="27" t="inlineStr">
        <is>
          <t>Teacher teaches specific classes.</t>
        </is>
      </c>
      <c r="J119" s="27" t="inlineStr">
        <is>
          <t>Rows for pupils outside the teacher's classes are rejected.</t>
        </is>
      </c>
      <c r="K119" s="27" t="inlineStr">
        <is>
          <t>REQ-IMP-TeacherScope</t>
        </is>
      </c>
      <c r="L119" s="28" t="inlineStr">
        <is>
          <t>Not Run</t>
        </is>
      </c>
      <c r="M119" s="27" t="inlineStr"/>
      <c r="N119" s="27" t="inlineStr"/>
      <c r="O119" s="27" t="inlineStr"/>
    </row>
    <row r="120">
      <c r="A120" s="22" t="inlineStr">
        <is>
          <t>TC-IMP-011</t>
        </is>
      </c>
      <c r="B120" s="23" t="inlineStr">
        <is>
          <t>Data Import (CSV)</t>
        </is>
      </c>
      <c r="C120" s="23" t="inlineStr">
        <is>
          <t>RBAC</t>
        </is>
      </c>
      <c r="D120" s="23" t="inlineStr">
        <is>
          <t>Teacher import history is scoped</t>
        </is>
      </c>
      <c r="E120" s="29" t="inlineStr">
        <is>
          <t>Medium</t>
        </is>
      </c>
      <c r="F120" s="23" t="inlineStr">
        <is>
          <t>Security</t>
        </is>
      </c>
      <c r="G120" s="23" t="inlineStr">
        <is>
          <t>Teacher (import_data)</t>
        </is>
      </c>
      <c r="H120" s="23" t="inlineStr">
        <is>
          <t>Web</t>
        </is>
      </c>
      <c r="I120" s="23" t="inlineStr">
        <is>
          <t>Admin and teacher have both imported.</t>
        </is>
      </c>
      <c r="J120" s="23" t="inlineStr">
        <is>
          <t>Teacher sees only their own import batches.</t>
        </is>
      </c>
      <c r="K120" s="23" t="inlineStr">
        <is>
          <t>REQ-IMP-TeacherScope</t>
        </is>
      </c>
      <c r="L120" s="25" t="inlineStr">
        <is>
          <t>Not Run</t>
        </is>
      </c>
      <c r="M120" s="23" t="inlineStr"/>
      <c r="N120" s="23" t="inlineStr"/>
      <c r="O120" s="23" t="inlineStr"/>
    </row>
    <row r="121">
      <c r="A121" s="26" t="inlineStr">
        <is>
          <t>TC-IMP-012</t>
        </is>
      </c>
      <c r="B121" s="27" t="inlineStr">
        <is>
          <t>Data Import (CSV)</t>
        </is>
      </c>
      <c r="C121" s="27" t="inlineStr">
        <is>
          <t>RBAC</t>
        </is>
      </c>
      <c r="D121" s="27" t="inlineStr">
        <is>
          <t>Import tab visibility gated by permission</t>
        </is>
      </c>
      <c r="E121" s="29" t="inlineStr">
        <is>
          <t>Medium</t>
        </is>
      </c>
      <c r="F121" s="27" t="inlineStr">
        <is>
          <t>Functional</t>
        </is>
      </c>
      <c r="G121" s="27" t="inlineStr">
        <is>
          <t>Teacher</t>
        </is>
      </c>
      <c r="H121" s="27" t="inlineStr">
        <is>
          <t>Both</t>
        </is>
      </c>
      <c r="I121" s="27" t="inlineStr">
        <is>
          <t>Two teachers: one granted import_data, one not.</t>
        </is>
      </c>
      <c r="J121" s="27" t="inlineStr">
        <is>
          <t>The 'Import data' tab shows only for the permitted teacher.</t>
        </is>
      </c>
      <c r="K121" s="27" t="inlineStr">
        <is>
          <t>REQ-IMP-TeacherScope</t>
        </is>
      </c>
      <c r="L121" s="28" t="inlineStr">
        <is>
          <t>Not Run</t>
        </is>
      </c>
      <c r="M121" s="27" t="inlineStr"/>
      <c r="N121" s="27" t="inlineStr"/>
      <c r="O121" s="27" t="inlineStr"/>
    </row>
    <row r="122">
      <c r="A122" s="22" t="inlineStr">
        <is>
          <t>TC-ATT-001</t>
        </is>
      </c>
      <c r="B122" s="23" t="inlineStr">
        <is>
          <t>Attendance</t>
        </is>
      </c>
      <c r="C122" s="23" t="inlineStr">
        <is>
          <t>Visibility</t>
        </is>
      </c>
      <c r="D122" s="23" t="inlineStr">
        <is>
          <t>Imported attendance is visible</t>
        </is>
      </c>
      <c r="E122" s="24" t="inlineStr">
        <is>
          <t>High</t>
        </is>
      </c>
      <c r="F122" s="23" t="inlineStr">
        <is>
          <t>Regression</t>
        </is>
      </c>
      <c r="G122" s="23" t="inlineStr">
        <is>
          <t>School Admin</t>
        </is>
      </c>
      <c r="H122" s="23" t="inlineStr">
        <is>
          <t>Web</t>
        </is>
      </c>
      <c r="I122" s="23" t="inlineStr">
        <is>
          <t>Attendance imported for a past date.</t>
        </is>
      </c>
      <c r="J122" s="23" t="inlineStr">
        <is>
          <t>Selecting the matching date/range shows the imported marks.</t>
        </is>
      </c>
      <c r="K122" s="23" t="inlineStr">
        <is>
          <t>REQ-BUG-AttHidden</t>
        </is>
      </c>
      <c r="L122" s="25" t="inlineStr">
        <is>
          <t>Not Run</t>
        </is>
      </c>
      <c r="M122" s="23" t="inlineStr"/>
      <c r="N122" s="23" t="inlineStr"/>
      <c r="O122" s="23" t="inlineStr"/>
    </row>
    <row r="123">
      <c r="A123" s="26" t="inlineStr">
        <is>
          <t>TC-ATT-002</t>
        </is>
      </c>
      <c r="B123" s="27" t="inlineStr">
        <is>
          <t>Attendance</t>
        </is>
      </c>
      <c r="C123" s="27" t="inlineStr">
        <is>
          <t>Filter</t>
        </is>
      </c>
      <c r="D123" s="27" t="inlineStr">
        <is>
          <t>Filter by day/week/month/term/year</t>
        </is>
      </c>
      <c r="E123" s="24" t="inlineStr">
        <is>
          <t>High</t>
        </is>
      </c>
      <c r="F123" s="27" t="inlineStr">
        <is>
          <t>Functional</t>
        </is>
      </c>
      <c r="G123" s="27" t="inlineStr">
        <is>
          <t>School Admin</t>
        </is>
      </c>
      <c r="H123" s="27" t="inlineStr">
        <is>
          <t>Web</t>
        </is>
      </c>
      <c r="I123" s="27" t="inlineStr">
        <is>
          <t>Attendance spans multiple dates.</t>
        </is>
      </c>
      <c r="J123" s="27" t="inlineStr">
        <is>
          <t>Each period returns the correct range.</t>
        </is>
      </c>
      <c r="K123" s="27" t="inlineStr">
        <is>
          <t>REQ-ATT-Filter</t>
        </is>
      </c>
      <c r="L123" s="28" t="inlineStr">
        <is>
          <t>Not Run</t>
        </is>
      </c>
      <c r="M123" s="27" t="inlineStr"/>
      <c r="N123" s="27" t="inlineStr"/>
      <c r="O123" s="27" t="inlineStr"/>
    </row>
    <row r="124">
      <c r="A124" s="22" t="inlineStr">
        <is>
          <t>TC-ATT-003</t>
        </is>
      </c>
      <c r="B124" s="23" t="inlineStr">
        <is>
          <t>Attendance</t>
        </is>
      </c>
      <c r="C124" s="23" t="inlineStr">
        <is>
          <t>Sort</t>
        </is>
      </c>
      <c r="D124" s="23" t="inlineStr">
        <is>
          <t>Column sorting</t>
        </is>
      </c>
      <c r="E124" s="29" t="inlineStr">
        <is>
          <t>Medium</t>
        </is>
      </c>
      <c r="F124" s="23" t="inlineStr">
        <is>
          <t>Functional</t>
        </is>
      </c>
      <c r="G124" s="23" t="inlineStr">
        <is>
          <t>School Admin</t>
        </is>
      </c>
      <c r="H124" s="23" t="inlineStr">
        <is>
          <t>Web</t>
        </is>
      </c>
      <c r="I124" s="23" t="inlineStr">
        <is>
          <t>Marks are listed.</t>
        </is>
      </c>
      <c r="J124" s="23" t="inlineStr">
        <is>
          <t>Clicking a header sorts by it with a direction toggle.</t>
        </is>
      </c>
      <c r="K124" s="23" t="inlineStr">
        <is>
          <t>REQ-ATT-Sort</t>
        </is>
      </c>
      <c r="L124" s="25" t="inlineStr">
        <is>
          <t>Not Run</t>
        </is>
      </c>
      <c r="M124" s="23" t="inlineStr"/>
      <c r="N124" s="23" t="inlineStr"/>
      <c r="O124" s="23" t="inlineStr"/>
    </row>
    <row r="125">
      <c r="A125" s="26" t="inlineStr">
        <is>
          <t>TC-ATT-004</t>
        </is>
      </c>
      <c r="B125" s="27" t="inlineStr">
        <is>
          <t>Attendance</t>
        </is>
      </c>
      <c r="C125" s="27" t="inlineStr">
        <is>
          <t>Filter</t>
        </is>
      </c>
      <c r="D125" s="27" t="inlineStr">
        <is>
          <t>Status filter and search</t>
        </is>
      </c>
      <c r="E125" s="30" t="inlineStr">
        <is>
          <t>Low</t>
        </is>
      </c>
      <c r="F125" s="27" t="inlineStr">
        <is>
          <t>Functional</t>
        </is>
      </c>
      <c r="G125" s="27" t="inlineStr">
        <is>
          <t>School Admin</t>
        </is>
      </c>
      <c r="H125" s="27" t="inlineStr">
        <is>
          <t>Web</t>
        </is>
      </c>
      <c r="I125" s="27" t="inlineStr">
        <is>
          <t>Mixed statuses.</t>
        </is>
      </c>
      <c r="J125" s="27" t="inlineStr">
        <is>
          <t>Status dropdown + search narrow the list.</t>
        </is>
      </c>
      <c r="K125" s="27" t="inlineStr">
        <is>
          <t>REQ-ATT-Filter</t>
        </is>
      </c>
      <c r="L125" s="28" t="inlineStr">
        <is>
          <t>Not Run</t>
        </is>
      </c>
      <c r="M125" s="27" t="inlineStr"/>
      <c r="N125" s="27" t="inlineStr"/>
      <c r="O125" s="27" t="inlineStr"/>
    </row>
    <row r="126">
      <c r="A126" s="22" t="inlineStr">
        <is>
          <t>TC-ATT-005</t>
        </is>
      </c>
      <c r="B126" s="23" t="inlineStr">
        <is>
          <t>Attendance</t>
        </is>
      </c>
      <c r="C126" s="23" t="inlineStr">
        <is>
          <t>Mark</t>
        </is>
      </c>
      <c r="D126" s="23" t="inlineStr">
        <is>
          <t>Manual mark with date + pupil context</t>
        </is>
      </c>
      <c r="E126" s="29" t="inlineStr">
        <is>
          <t>Medium</t>
        </is>
      </c>
      <c r="F126" s="23" t="inlineStr">
        <is>
          <t>Functional</t>
        </is>
      </c>
      <c r="G126" s="23" t="inlineStr">
        <is>
          <t>School Admin</t>
        </is>
      </c>
      <c r="H126" s="23" t="inlineStr">
        <is>
          <t>Web</t>
        </is>
      </c>
      <c r="I126" s="23" t="inlineStr">
        <is>
          <t>A pupil exists.</t>
        </is>
      </c>
      <c r="J126" s="23" t="inlineStr">
        <is>
          <t>The mark form has an explicit date and shows the pupil's year/class/teacher.</t>
        </is>
      </c>
      <c r="K126" s="23" t="inlineStr">
        <is>
          <t>REQ-ATT-Mark</t>
        </is>
      </c>
      <c r="L126" s="25" t="inlineStr">
        <is>
          <t>Not Run</t>
        </is>
      </c>
      <c r="M126" s="23" t="inlineStr"/>
      <c r="N126" s="23" t="inlineStr"/>
      <c r="O126" s="23" t="inlineStr"/>
    </row>
    <row r="127">
      <c r="A127" s="26" t="inlineStr">
        <is>
          <t>TC-ANL-001</t>
        </is>
      </c>
      <c r="B127" s="27" t="inlineStr">
        <is>
          <t>Super-Admin School Analytics</t>
        </is>
      </c>
      <c r="C127" s="27" t="inlineStr">
        <is>
          <t>Census</t>
        </is>
      </c>
      <c r="D127" s="27" t="inlineStr">
        <is>
          <t>Per-school analytics census</t>
        </is>
      </c>
      <c r="E127" s="24" t="inlineStr">
        <is>
          <t>High</t>
        </is>
      </c>
      <c r="F127" s="27" t="inlineStr">
        <is>
          <t>Functional</t>
        </is>
      </c>
      <c r="G127" s="27" t="inlineStr">
        <is>
          <t>Super Admin</t>
        </is>
      </c>
      <c r="H127" s="27" t="inlineStr">
        <is>
          <t>Web</t>
        </is>
      </c>
      <c r="I127" s="27" t="inlineStr">
        <is>
          <t>A school with members and activity.</t>
        </is>
      </c>
      <c r="J127" s="27" t="inlineStr">
        <is>
          <t>Shows total/active/inactive users, by-role, last logins, actions.</t>
        </is>
      </c>
      <c r="K127" s="27" t="inlineStr">
        <is>
          <t>REQ-ANL-Census</t>
        </is>
      </c>
      <c r="L127" s="28" t="inlineStr">
        <is>
          <t>Not Run</t>
        </is>
      </c>
      <c r="M127" s="27" t="inlineStr"/>
      <c r="N127" s="27" t="inlineStr"/>
      <c r="O127" s="27" t="inlineStr"/>
    </row>
    <row r="128">
      <c r="A128" s="22" t="inlineStr">
        <is>
          <t>TC-ANL-002</t>
        </is>
      </c>
      <c r="B128" s="23" t="inlineStr">
        <is>
          <t>Super-Admin School Analytics</t>
        </is>
      </c>
      <c r="C128" s="23" t="inlineStr">
        <is>
          <t>Filters</t>
        </is>
      </c>
      <c r="D128" s="23" t="inlineStr">
        <is>
          <t>School and period filters</t>
        </is>
      </c>
      <c r="E128" s="29" t="inlineStr">
        <is>
          <t>Medium</t>
        </is>
      </c>
      <c r="F128" s="23" t="inlineStr">
        <is>
          <t>Functional</t>
        </is>
      </c>
      <c r="G128" s="23" t="inlineStr">
        <is>
          <t>Super Admin</t>
        </is>
      </c>
      <c r="H128" s="23" t="inlineStr">
        <is>
          <t>Web</t>
        </is>
      </c>
      <c r="I128" s="23" t="inlineStr">
        <is>
          <t>Multiple schools; activity over time.</t>
        </is>
      </c>
      <c r="J128" s="23" t="inlineStr">
        <is>
          <t>School + period (7/30/90/180/365d) filter the figures and persist.</t>
        </is>
      </c>
      <c r="K128" s="23" t="inlineStr">
        <is>
          <t>REQ-ANL-Filters</t>
        </is>
      </c>
      <c r="L128" s="25" t="inlineStr">
        <is>
          <t>Not Run</t>
        </is>
      </c>
      <c r="M128" s="23" t="inlineStr"/>
      <c r="N128" s="23" t="inlineStr"/>
      <c r="O128" s="23" t="inlineStr"/>
    </row>
    <row r="129">
      <c r="A129" s="26" t="inlineStr">
        <is>
          <t>TC-ANL-003</t>
        </is>
      </c>
      <c r="B129" s="27" t="inlineStr">
        <is>
          <t>Super-Admin School Analytics</t>
        </is>
      </c>
      <c r="C129" s="27" t="inlineStr">
        <is>
          <t>Trends</t>
        </is>
      </c>
      <c r="D129" s="27" t="inlineStr">
        <is>
          <t>Feature usage and login trend</t>
        </is>
      </c>
      <c r="E129" s="30" t="inlineStr">
        <is>
          <t>Low</t>
        </is>
      </c>
      <c r="F129" s="27" t="inlineStr">
        <is>
          <t>Functional</t>
        </is>
      </c>
      <c r="G129" s="27" t="inlineStr">
        <is>
          <t>Super Admin</t>
        </is>
      </c>
      <c r="H129" s="27" t="inlineStr">
        <is>
          <t>Web</t>
        </is>
      </c>
      <c r="I129" s="27" t="inlineStr">
        <is>
          <t>Login + usage events exist.</t>
        </is>
      </c>
      <c r="J129" s="27" t="inlineStr">
        <is>
          <t>Most-used features and a logins-over-time trend are shown.</t>
        </is>
      </c>
      <c r="K129" s="27" t="inlineStr">
        <is>
          <t>REQ-ANL-Trends</t>
        </is>
      </c>
      <c r="L129" s="28" t="inlineStr">
        <is>
          <t>Not Run</t>
        </is>
      </c>
      <c r="M129" s="27" t="inlineStr"/>
      <c r="N129" s="27" t="inlineStr"/>
      <c r="O129" s="27" t="inlineStr"/>
    </row>
    <row r="130">
      <c r="A130" s="22" t="inlineStr">
        <is>
          <t>TC-ANL-004</t>
        </is>
      </c>
      <c r="B130" s="23" t="inlineStr">
        <is>
          <t>Super-Admin School Analytics</t>
        </is>
      </c>
      <c r="C130" s="23" t="inlineStr">
        <is>
          <t>Export</t>
        </is>
      </c>
      <c r="D130" s="23" t="inlineStr">
        <is>
          <t>Analytics CSV export (governed)</t>
        </is>
      </c>
      <c r="E130" s="29" t="inlineStr">
        <is>
          <t>Medium</t>
        </is>
      </c>
      <c r="F130" s="23" t="inlineStr">
        <is>
          <t>Functional</t>
        </is>
      </c>
      <c r="G130" s="23" t="inlineStr">
        <is>
          <t>Super Admin</t>
        </is>
      </c>
      <c r="H130" s="23" t="inlineStr">
        <is>
          <t>Web</t>
        </is>
      </c>
      <c r="I130" s="23" t="inlineStr">
        <is>
          <t>A view is displayed.</t>
        </is>
      </c>
      <c r="J130" s="23" t="inlineStr">
        <is>
          <t>Export downloads a CSV that is audited (metadata header).</t>
        </is>
      </c>
      <c r="K130" s="23" t="inlineStr">
        <is>
          <t>REQ-ANL-Export;REQ-DLG</t>
        </is>
      </c>
      <c r="L130" s="25" t="inlineStr">
        <is>
          <t>Not Run</t>
        </is>
      </c>
      <c r="M130" s="23" t="inlineStr"/>
      <c r="N130" s="23" t="inlineStr"/>
      <c r="O130" s="23" t="inlineStr"/>
    </row>
    <row r="131">
      <c r="A131" s="26" t="inlineStr">
        <is>
          <t>TC-MSG-011</t>
        </is>
      </c>
      <c r="B131" s="27" t="inlineStr">
        <is>
          <t>Messaging</t>
        </is>
      </c>
      <c r="C131" s="27" t="inlineStr">
        <is>
          <t>Composer</t>
        </is>
      </c>
      <c r="D131" s="27" t="inlineStr">
        <is>
          <t>Paste strips formatting</t>
        </is>
      </c>
      <c r="E131" s="24" t="inlineStr">
        <is>
          <t>High</t>
        </is>
      </c>
      <c r="F131" s="27" t="inlineStr">
        <is>
          <t>Functional</t>
        </is>
      </c>
      <c r="G131" s="27" t="inlineStr">
        <is>
          <t>Any messaging user</t>
        </is>
      </c>
      <c r="H131" s="27" t="inlineStr">
        <is>
          <t>Both</t>
        </is>
      </c>
      <c r="I131" s="27" t="inlineStr">
        <is>
          <t>Rich content on the clipboard (Word/web).</t>
        </is>
      </c>
      <c r="J131" s="27" t="inlineStr">
        <is>
          <t>Pasting inserts clean plain text (no distorted markup).</t>
        </is>
      </c>
      <c r="K131" s="27" t="inlineStr">
        <is>
          <t>REQ-MSG-Composer</t>
        </is>
      </c>
      <c r="L131" s="28" t="inlineStr">
        <is>
          <t>Not Run</t>
        </is>
      </c>
      <c r="M131" s="27" t="inlineStr"/>
      <c r="N131" s="27" t="inlineStr"/>
      <c r="O131" s="27" t="inlineStr"/>
    </row>
    <row r="132">
      <c r="A132" s="22" t="inlineStr">
        <is>
          <t>TC-MSG-012</t>
        </is>
      </c>
      <c r="B132" s="23" t="inlineStr">
        <is>
          <t>Messaging</t>
        </is>
      </c>
      <c r="C132" s="23" t="inlineStr">
        <is>
          <t>Composer</t>
        </is>
      </c>
      <c r="D132" s="23" t="inlineStr">
        <is>
          <t>Formatting controls + placeholder</t>
        </is>
      </c>
      <c r="E132" s="29" t="inlineStr">
        <is>
          <t>Medium</t>
        </is>
      </c>
      <c r="F132" s="23" t="inlineStr">
        <is>
          <t>Functional</t>
        </is>
      </c>
      <c r="G132" s="23" t="inlineStr">
        <is>
          <t>Any messaging user</t>
        </is>
      </c>
      <c r="H132" s="23" t="inlineStr">
        <is>
          <t>Both</t>
        </is>
      </c>
      <c r="I132" s="23" t="inlineStr">
        <is>
          <t>Empty composer.</t>
        </is>
      </c>
      <c r="J132" s="23" t="inlineStr">
        <is>
          <t>Toolbar (bold/italic/underline/lists/link/clear) works; placeholder returns when empty.</t>
        </is>
      </c>
      <c r="K132" s="23" t="inlineStr">
        <is>
          <t>REQ-MSG-Composer</t>
        </is>
      </c>
      <c r="L132" s="25" t="inlineStr">
        <is>
          <t>Not Run</t>
        </is>
      </c>
      <c r="M132" s="23" t="inlineStr"/>
      <c r="N132" s="23" t="inlineStr"/>
      <c r="O132" s="23" t="inlineStr"/>
    </row>
    <row r="133">
      <c r="A133" s="26" t="inlineStr">
        <is>
          <t>TC-MSG-013</t>
        </is>
      </c>
      <c r="B133" s="27" t="inlineStr">
        <is>
          <t>Messaging</t>
        </is>
      </c>
      <c r="C133" s="27" t="inlineStr">
        <is>
          <t>Composer</t>
        </is>
      </c>
      <c r="D133" s="27" t="inlineStr">
        <is>
          <t>Regression: mentions/reactions/threads/sanitisation</t>
        </is>
      </c>
      <c r="E133" s="24" t="inlineStr">
        <is>
          <t>High</t>
        </is>
      </c>
      <c r="F133" s="27" t="inlineStr">
        <is>
          <t>Regression</t>
        </is>
      </c>
      <c r="G133" s="27" t="inlineStr">
        <is>
          <t>Any messaging user</t>
        </is>
      </c>
      <c r="H133" s="27" t="inlineStr">
        <is>
          <t>Both</t>
        </is>
      </c>
      <c r="I133" s="27" t="inlineStr">
        <is>
          <t>Existing messaging features.</t>
        </is>
      </c>
      <c r="J133" s="27" t="inlineStr">
        <is>
          <t>Redesign leaves threads, @mentions, reactions, read-receipts and sanitisation intact.</t>
        </is>
      </c>
      <c r="K133" s="27" t="inlineStr">
        <is>
          <t>REQ-MSG-Composer;REQ-MSG-Sanitise</t>
        </is>
      </c>
      <c r="L133" s="28" t="inlineStr">
        <is>
          <t>Not Run</t>
        </is>
      </c>
      <c r="M133" s="27" t="inlineStr"/>
      <c r="N133" s="27" t="inlineStr"/>
      <c r="O133" s="27" t="inlineStr"/>
    </row>
  </sheetData>
  <autoFilter ref="A1:O133"/>
  <dataValidations count="1">
    <dataValidation sqref="L2:L133" showDropDown="0" showInputMessage="0" showErrorMessage="0" allowBlank="1" type="list">
      <formula1>"Pass,Fail,Blocked,In Progress,Not Run"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40" customWidth="1" min="3" max="3"/>
    <col width="6" customWidth="1" min="4" max="4"/>
    <col width="50" customWidth="1" min="5" max="5"/>
    <col width="22" customWidth="1" min="6" max="6"/>
    <col width="50" customWidth="1" min="7" max="7"/>
    <col width="34" customWidth="1" min="8" max="8"/>
    <col width="12" customWidth="1" min="9" max="9"/>
    <col width="24" customWidth="1" min="10" max="10"/>
  </cols>
  <sheetData>
    <row r="1">
      <c r="A1" s="21" t="inlineStr">
        <is>
          <t>Case ID</t>
        </is>
      </c>
      <c r="B1" s="21" t="inlineStr">
        <is>
          <t>Module</t>
        </is>
      </c>
      <c r="C1" s="21" t="inlineStr">
        <is>
          <t>Case Title</t>
        </is>
      </c>
      <c r="D1" s="21" t="inlineStr">
        <is>
          <t>Step</t>
        </is>
      </c>
      <c r="E1" s="21" t="inlineStr">
        <is>
          <t>Action</t>
        </is>
      </c>
      <c r="F1" s="21" t="inlineStr">
        <is>
          <t>Test Data</t>
        </is>
      </c>
      <c r="G1" s="21" t="inlineStr">
        <is>
          <t>Expected Result</t>
        </is>
      </c>
      <c r="H1" s="21" t="inlineStr">
        <is>
          <t>Actual Result</t>
        </is>
      </c>
      <c r="I1" s="21" t="inlineStr">
        <is>
          <t>Status</t>
        </is>
      </c>
      <c r="J1" s="21" t="inlineStr">
        <is>
          <t>Comments</t>
        </is>
      </c>
    </row>
    <row r="2">
      <c r="A2" s="31" t="inlineStr">
        <is>
          <t>TC-AUTH-001</t>
        </is>
      </c>
      <c r="B2" s="32" t="inlineStr">
        <is>
          <t>Authentication &amp; Session</t>
        </is>
      </c>
      <c r="C2" s="33" t="inlineStr">
        <is>
          <t>Valid sign-in with correct credentials</t>
        </is>
      </c>
      <c r="D2" s="34" t="n">
        <v>1</v>
      </c>
      <c r="E2" s="32" t="inlineStr">
        <is>
          <t>Navigate to the sign-in page</t>
        </is>
      </c>
      <c r="F2" s="32" t="inlineStr">
        <is>
          <t>-</t>
        </is>
      </c>
      <c r="G2" s="32" t="inlineStr">
        <is>
          <t>Login form is displayed with email &amp; password fields.</t>
        </is>
      </c>
      <c r="H2" s="32" t="inlineStr"/>
      <c r="I2" s="35" t="inlineStr">
        <is>
          <t>Not Run</t>
        </is>
      </c>
      <c r="J2" s="32" t="inlineStr"/>
    </row>
    <row r="3">
      <c r="A3" s="27" t="inlineStr"/>
      <c r="B3" s="27" t="inlineStr"/>
      <c r="C3" s="27" t="inlineStr"/>
      <c r="D3" s="36" t="n">
        <v>2</v>
      </c>
      <c r="E3" s="27" t="inlineStr">
        <is>
          <t>Enter valid email and password</t>
        </is>
      </c>
      <c r="F3" s="27" t="inlineStr">
        <is>
          <t>valid credentials</t>
        </is>
      </c>
      <c r="G3" s="27" t="inlineStr">
        <is>
          <t>Fields accept input; password is masked.</t>
        </is>
      </c>
      <c r="H3" s="27" t="inlineStr"/>
      <c r="I3" s="28" t="inlineStr">
        <is>
          <t>Not Run</t>
        </is>
      </c>
      <c r="J3" s="27" t="inlineStr"/>
    </row>
    <row r="4">
      <c r="A4" s="27" t="inlineStr"/>
      <c r="B4" s="27" t="inlineStr"/>
      <c r="C4" s="27" t="inlineStr"/>
      <c r="D4" s="36" t="n">
        <v>3</v>
      </c>
      <c r="E4" s="27" t="inlineStr">
        <is>
          <t>Tap Sign in</t>
        </is>
      </c>
      <c r="F4" s="27" t="inlineStr">
        <is>
          <t>-</t>
        </is>
      </c>
      <c r="G4" s="27" t="inlineStr">
        <is>
          <t>Session token issued; user routed to their role dashboard.</t>
        </is>
      </c>
      <c r="H4" s="27" t="inlineStr"/>
      <c r="I4" s="28" t="inlineStr">
        <is>
          <t>Not Run</t>
        </is>
      </c>
      <c r="J4" s="27" t="inlineStr"/>
    </row>
    <row r="5">
      <c r="A5" s="31" t="inlineStr">
        <is>
          <t>TC-AUTH-002</t>
        </is>
      </c>
      <c r="B5" s="32" t="inlineStr">
        <is>
          <t>Authentication &amp; Session</t>
        </is>
      </c>
      <c r="C5" s="33" t="inlineStr">
        <is>
          <t>Reject invalid password</t>
        </is>
      </c>
      <c r="D5" s="34" t="n">
        <v>1</v>
      </c>
      <c r="E5" s="32" t="inlineStr">
        <is>
          <t>Enter a valid email with a wrong password</t>
        </is>
      </c>
      <c r="F5" s="32" t="inlineStr">
        <is>
          <t>wrong password</t>
        </is>
      </c>
      <c r="G5" s="32" t="inlineStr">
        <is>
          <t>Input accepted.</t>
        </is>
      </c>
      <c r="H5" s="32" t="inlineStr"/>
      <c r="I5" s="35" t="inlineStr">
        <is>
          <t>Not Run</t>
        </is>
      </c>
      <c r="J5" s="32" t="inlineStr"/>
    </row>
    <row r="6">
      <c r="A6" s="27" t="inlineStr"/>
      <c r="B6" s="27" t="inlineStr"/>
      <c r="C6" s="27" t="inlineStr"/>
      <c r="D6" s="36" t="n">
        <v>2</v>
      </c>
      <c r="E6" s="27" t="inlineStr">
        <is>
          <t>Tap Sign in</t>
        </is>
      </c>
      <c r="F6" s="27" t="inlineStr">
        <is>
          <t>-</t>
        </is>
      </c>
      <c r="G6" s="27" t="inlineStr">
        <is>
          <t>Error 'Sign-in failed' shown; user stays on login; no session created.</t>
        </is>
      </c>
      <c r="H6" s="27" t="inlineStr"/>
      <c r="I6" s="28" t="inlineStr">
        <is>
          <t>Not Run</t>
        </is>
      </c>
      <c r="J6" s="27" t="inlineStr"/>
    </row>
    <row r="7">
      <c r="A7" s="31" t="inlineStr">
        <is>
          <t>TC-AUTH-003</t>
        </is>
      </c>
      <c r="B7" s="32" t="inlineStr">
        <is>
          <t>Authentication &amp; Session</t>
        </is>
      </c>
      <c r="C7" s="33" t="inlineStr">
        <is>
          <t>Account protection after repeated failures</t>
        </is>
      </c>
      <c r="D7" s="34" t="n">
        <v>1</v>
      </c>
      <c r="E7" s="32" t="inlineStr">
        <is>
          <t>Submit wrong password up to the configured threshold</t>
        </is>
      </c>
      <c r="F7" s="32" t="inlineStr">
        <is>
          <t>wrong password x N</t>
        </is>
      </c>
      <c r="G7" s="32" t="inlineStr">
        <is>
          <t>Each attempt is rejected.</t>
        </is>
      </c>
      <c r="H7" s="32" t="inlineStr"/>
      <c r="I7" s="35" t="inlineStr">
        <is>
          <t>Not Run</t>
        </is>
      </c>
      <c r="J7" s="32" t="inlineStr"/>
    </row>
    <row r="8">
      <c r="A8" s="27" t="inlineStr"/>
      <c r="B8" s="27" t="inlineStr"/>
      <c r="C8" s="27" t="inlineStr"/>
      <c r="D8" s="36" t="n">
        <v>2</v>
      </c>
      <c r="E8" s="27" t="inlineStr">
        <is>
          <t>Submit one more attempt</t>
        </is>
      </c>
      <c r="F8" s="27" t="inlineStr">
        <is>
          <t>wrong password</t>
        </is>
      </c>
      <c r="G8" s="27" t="inlineStr">
        <is>
          <t>Further attempts are throttled/locked per policy and audited.</t>
        </is>
      </c>
      <c r="H8" s="27" t="inlineStr"/>
      <c r="I8" s="28" t="inlineStr">
        <is>
          <t>Not Run</t>
        </is>
      </c>
      <c r="J8" s="27" t="inlineStr"/>
    </row>
    <row r="9">
      <c r="A9" s="31" t="inlineStr">
        <is>
          <t>TC-AUTH-004</t>
        </is>
      </c>
      <c r="B9" s="32" t="inlineStr">
        <is>
          <t>Authentication &amp; Session</t>
        </is>
      </c>
      <c r="C9" s="33" t="inlineStr">
        <is>
          <t>Mandatory MFA enrolment</t>
        </is>
      </c>
      <c r="D9" s="34" t="n">
        <v>1</v>
      </c>
      <c r="E9" s="32" t="inlineStr">
        <is>
          <t>Sign in with valid credentials</t>
        </is>
      </c>
      <c r="F9" s="32" t="inlineStr">
        <is>
          <t>valid credentials</t>
        </is>
      </c>
      <c r="G9" s="32" t="inlineStr">
        <is>
          <t>mfaEnrollmentRequired gate triggers; enrolment screen with secret/QR shown.</t>
        </is>
      </c>
      <c r="H9" s="32" t="inlineStr"/>
      <c r="I9" s="35" t="inlineStr">
        <is>
          <t>Not Run</t>
        </is>
      </c>
      <c r="J9" s="32" t="inlineStr"/>
    </row>
    <row r="10">
      <c r="A10" s="27" t="inlineStr"/>
      <c r="B10" s="27" t="inlineStr"/>
      <c r="C10" s="27" t="inlineStr"/>
      <c r="D10" s="36" t="n">
        <v>2</v>
      </c>
      <c r="E10" s="27" t="inlineStr">
        <is>
          <t>Scan secret in an authenticator and enter the 6-digit code</t>
        </is>
      </c>
      <c r="F10" s="27" t="inlineStr">
        <is>
          <t>current TOTP</t>
        </is>
      </c>
      <c r="G10" s="27" t="inlineStr">
        <is>
          <t>Code accepted; enrolment stored.</t>
        </is>
      </c>
      <c r="H10" s="27" t="inlineStr"/>
      <c r="I10" s="28" t="inlineStr">
        <is>
          <t>Not Run</t>
        </is>
      </c>
      <c r="J10" s="27" t="inlineStr"/>
    </row>
    <row r="11">
      <c r="A11" s="27" t="inlineStr"/>
      <c r="B11" s="27" t="inlineStr"/>
      <c r="C11" s="27" t="inlineStr"/>
      <c r="D11" s="36" t="n">
        <v>3</v>
      </c>
      <c r="E11" s="27" t="inlineStr">
        <is>
          <t>Continue</t>
        </is>
      </c>
      <c r="F11" s="27" t="inlineStr">
        <is>
          <t>-</t>
        </is>
      </c>
      <c r="G11" s="27" t="inlineStr">
        <is>
          <t>User proceeds to dashboard; subsequent logins require MFA.</t>
        </is>
      </c>
      <c r="H11" s="27" t="inlineStr"/>
      <c r="I11" s="28" t="inlineStr">
        <is>
          <t>Not Run</t>
        </is>
      </c>
      <c r="J11" s="27" t="inlineStr"/>
    </row>
    <row r="12">
      <c r="A12" s="31" t="inlineStr">
        <is>
          <t>TC-AUTH-005</t>
        </is>
      </c>
      <c r="B12" s="32" t="inlineStr">
        <is>
          <t>Authentication &amp; Session</t>
        </is>
      </c>
      <c r="C12" s="33" t="inlineStr">
        <is>
          <t>MFA challenge on login</t>
        </is>
      </c>
      <c r="D12" s="34" t="n">
        <v>1</v>
      </c>
      <c r="E12" s="32" t="inlineStr">
        <is>
          <t>Sign in with valid credentials</t>
        </is>
      </c>
      <c r="F12" s="32" t="inlineStr">
        <is>
          <t>valid credentials</t>
        </is>
      </c>
      <c r="G12" s="32" t="inlineStr">
        <is>
          <t>mfaRequired response; code prompt shown.</t>
        </is>
      </c>
      <c r="H12" s="32" t="inlineStr"/>
      <c r="I12" s="35" t="inlineStr">
        <is>
          <t>Not Run</t>
        </is>
      </c>
      <c r="J12" s="32" t="inlineStr"/>
    </row>
    <row r="13">
      <c r="A13" s="27" t="inlineStr"/>
      <c r="B13" s="27" t="inlineStr"/>
      <c r="C13" s="27" t="inlineStr"/>
      <c r="D13" s="36" t="n">
        <v>2</v>
      </c>
      <c r="E13" s="27" t="inlineStr">
        <is>
          <t>Enter an incorrect code</t>
        </is>
      </c>
      <c r="F13" s="27" t="inlineStr">
        <is>
          <t>000000</t>
        </is>
      </c>
      <c r="G13" s="27" t="inlineStr">
        <is>
          <t>Rejected with error; no session.</t>
        </is>
      </c>
      <c r="H13" s="27" t="inlineStr"/>
      <c r="I13" s="28" t="inlineStr">
        <is>
          <t>Not Run</t>
        </is>
      </c>
      <c r="J13" s="27" t="inlineStr"/>
    </row>
    <row r="14">
      <c r="A14" s="27" t="inlineStr"/>
      <c r="B14" s="27" t="inlineStr"/>
      <c r="C14" s="27" t="inlineStr"/>
      <c r="D14" s="36" t="n">
        <v>3</v>
      </c>
      <c r="E14" s="27" t="inlineStr">
        <is>
          <t>Enter the correct code</t>
        </is>
      </c>
      <c r="F14" s="27" t="inlineStr">
        <is>
          <t>current TOTP</t>
        </is>
      </c>
      <c r="G14" s="27" t="inlineStr">
        <is>
          <t>Session issued; dashboard shown.</t>
        </is>
      </c>
      <c r="H14" s="27" t="inlineStr"/>
      <c r="I14" s="28" t="inlineStr">
        <is>
          <t>Not Run</t>
        </is>
      </c>
      <c r="J14" s="27" t="inlineStr"/>
    </row>
    <row r="15">
      <c r="A15" s="31" t="inlineStr">
        <is>
          <t>TC-AUTH-006</t>
        </is>
      </c>
      <c r="B15" s="32" t="inlineStr">
        <is>
          <t>Authentication &amp; Session</t>
        </is>
      </c>
      <c r="C15" s="33" t="inlineStr">
        <is>
          <t>Forced password change on expiry</t>
        </is>
      </c>
      <c r="D15" s="34" t="n">
        <v>1</v>
      </c>
      <c r="E15" s="32" t="inlineStr">
        <is>
          <t>Sign in</t>
        </is>
      </c>
      <c r="F15" s="32" t="inlineStr">
        <is>
          <t>valid credentials</t>
        </is>
      </c>
      <c r="G15" s="32" t="inlineStr">
        <is>
          <t>passwordExpired gate triggers; change-password screen shown.</t>
        </is>
      </c>
      <c r="H15" s="32" t="inlineStr"/>
      <c r="I15" s="35" t="inlineStr">
        <is>
          <t>Not Run</t>
        </is>
      </c>
      <c r="J15" s="32" t="inlineStr"/>
    </row>
    <row r="16">
      <c r="A16" s="27" t="inlineStr"/>
      <c r="B16" s="27" t="inlineStr"/>
      <c r="C16" s="27" t="inlineStr"/>
      <c r="D16" s="36" t="n">
        <v>2</v>
      </c>
      <c r="E16" s="27" t="inlineStr">
        <is>
          <t>Submit a compliant new password</t>
        </is>
      </c>
      <c r="F16" s="27" t="inlineStr">
        <is>
          <t>new password</t>
        </is>
      </c>
      <c r="G16" s="27" t="inlineStr">
        <is>
          <t>Password updated; session rotated; user re-authenticated.</t>
        </is>
      </c>
      <c r="H16" s="27" t="inlineStr"/>
      <c r="I16" s="28" t="inlineStr">
        <is>
          <t>Not Run</t>
        </is>
      </c>
      <c r="J16" s="27" t="inlineStr"/>
    </row>
    <row r="17">
      <c r="A17" s="31" t="inlineStr">
        <is>
          <t>TC-AUTH-007</t>
        </is>
      </c>
      <c r="B17" s="32" t="inlineStr">
        <is>
          <t>Authentication &amp; Session</t>
        </is>
      </c>
      <c r="C17" s="33" t="inlineStr">
        <is>
          <t>Remember-me persists session</t>
        </is>
      </c>
      <c r="D17" s="34" t="n">
        <v>1</v>
      </c>
      <c r="E17" s="32" t="inlineStr">
        <is>
          <t>Sign in with remember enabled</t>
        </is>
      </c>
      <c r="F17" s="32" t="inlineStr">
        <is>
          <t>valid credentials</t>
        </is>
      </c>
      <c r="G17" s="32" t="inlineStr">
        <is>
          <t>Token stored securely; remember flag = 1.</t>
        </is>
      </c>
      <c r="H17" s="32" t="inlineStr"/>
      <c r="I17" s="35" t="inlineStr">
        <is>
          <t>Not Run</t>
        </is>
      </c>
      <c r="J17" s="32" t="inlineStr"/>
    </row>
    <row r="18">
      <c r="A18" s="27" t="inlineStr"/>
      <c r="B18" s="27" t="inlineStr"/>
      <c r="C18" s="27" t="inlineStr"/>
      <c r="D18" s="36" t="n">
        <v>2</v>
      </c>
      <c r="E18" s="27" t="inlineStr">
        <is>
          <t>Close and reopen the app</t>
        </is>
      </c>
      <c r="F18" s="27" t="inlineStr">
        <is>
          <t>-</t>
        </is>
      </c>
      <c r="G18" s="27" t="inlineStr">
        <is>
          <t>Bootstrap runs with stored token; user lands on dashboard without re-entering credentials.</t>
        </is>
      </c>
      <c r="H18" s="27" t="inlineStr"/>
      <c r="I18" s="28" t="inlineStr">
        <is>
          <t>Not Run</t>
        </is>
      </c>
      <c r="J18" s="27" t="inlineStr"/>
    </row>
    <row r="19">
      <c r="A19" s="31" t="inlineStr">
        <is>
          <t>TC-AUTH-008</t>
        </is>
      </c>
      <c r="B19" s="32" t="inlineStr">
        <is>
          <t>Authentication &amp; Session</t>
        </is>
      </c>
      <c r="C19" s="33" t="inlineStr">
        <is>
          <t>Logout invalidates session</t>
        </is>
      </c>
      <c r="D19" s="34" t="n">
        <v>1</v>
      </c>
      <c r="E19" s="32" t="inlineStr">
        <is>
          <t>Tap Logout</t>
        </is>
      </c>
      <c r="F19" s="32" t="inlineStr">
        <is>
          <t>-</t>
        </is>
      </c>
      <c r="G19" s="32" t="inlineStr">
        <is>
          <t>Token cleared; remember flag removed; returned to login.</t>
        </is>
      </c>
      <c r="H19" s="32" t="inlineStr"/>
      <c r="I19" s="35" t="inlineStr">
        <is>
          <t>Not Run</t>
        </is>
      </c>
      <c r="J19" s="32" t="inlineStr"/>
    </row>
    <row r="20">
      <c r="A20" s="27" t="inlineStr"/>
      <c r="B20" s="27" t="inlineStr"/>
      <c r="C20" s="27" t="inlineStr"/>
      <c r="D20" s="36" t="n">
        <v>2</v>
      </c>
      <c r="E20" s="27" t="inlineStr">
        <is>
          <t>Attempt to reopen a protected screen / API</t>
        </is>
      </c>
      <c r="F20" s="27" t="inlineStr">
        <is>
          <t>-</t>
        </is>
      </c>
      <c r="G20" s="27" t="inlineStr">
        <is>
          <t>Access denied / redirected to login.</t>
        </is>
      </c>
      <c r="H20" s="27" t="inlineStr"/>
      <c r="I20" s="28" t="inlineStr">
        <is>
          <t>Not Run</t>
        </is>
      </c>
      <c r="J20" s="27" t="inlineStr"/>
    </row>
    <row r="21">
      <c r="A21" s="31" t="inlineStr">
        <is>
          <t>TC-AUTH-009</t>
        </is>
      </c>
      <c r="B21" s="32" t="inlineStr">
        <is>
          <t>Authentication &amp; Session</t>
        </is>
      </c>
      <c r="C21" s="33" t="inlineStr">
        <is>
          <t>Biometric unlock on mobile</t>
        </is>
      </c>
      <c r="D21" s="34" t="n">
        <v>1</v>
      </c>
      <c r="E21" s="32" t="inlineStr">
        <is>
          <t>Open app with a stored session</t>
        </is>
      </c>
      <c r="F21" s="32" t="inlineStr">
        <is>
          <t>-</t>
        </is>
      </c>
      <c r="G21" s="32" t="inlineStr">
        <is>
          <t>Biometric prompt shown.</t>
        </is>
      </c>
      <c r="H21" s="32" t="inlineStr"/>
      <c r="I21" s="35" t="inlineStr">
        <is>
          <t>Not Run</t>
        </is>
      </c>
      <c r="J21" s="32" t="inlineStr"/>
    </row>
    <row r="22">
      <c r="A22" s="27" t="inlineStr"/>
      <c r="B22" s="27" t="inlineStr"/>
      <c r="C22" s="27" t="inlineStr"/>
      <c r="D22" s="36" t="n">
        <v>2</v>
      </c>
      <c r="E22" s="27" t="inlineStr">
        <is>
          <t>Authenticate with Face/Touch ID</t>
        </is>
      </c>
      <c r="F22" s="27" t="inlineStr">
        <is>
          <t>valid biometric</t>
        </is>
      </c>
      <c r="G22" s="27" t="inlineStr">
        <is>
          <t>Bootstrap loads; dashboard shown.</t>
        </is>
      </c>
      <c r="H22" s="27" t="inlineStr"/>
      <c r="I22" s="28" t="inlineStr">
        <is>
          <t>Not Run</t>
        </is>
      </c>
      <c r="J22" s="27" t="inlineStr"/>
    </row>
    <row r="23">
      <c r="A23" s="27" t="inlineStr"/>
      <c r="B23" s="27" t="inlineStr"/>
      <c r="C23" s="27" t="inlineStr"/>
      <c r="D23" s="36" t="n">
        <v>3</v>
      </c>
      <c r="E23" s="27" t="inlineStr">
        <is>
          <t>Fail/cancel biometric</t>
        </is>
      </c>
      <c r="F23" s="27" t="inlineStr">
        <is>
          <t>cancel</t>
        </is>
      </c>
      <c r="G23" s="27" t="inlineStr">
        <is>
          <t>Session not restored; user remains on lock/login.</t>
        </is>
      </c>
      <c r="H23" s="27" t="inlineStr"/>
      <c r="I23" s="28" t="inlineStr">
        <is>
          <t>Not Run</t>
        </is>
      </c>
      <c r="J23" s="27" t="inlineStr"/>
    </row>
    <row r="24">
      <c r="A24" s="31" t="inlineStr">
        <is>
          <t>TC-AUTH-010</t>
        </is>
      </c>
      <c r="B24" s="32" t="inlineStr">
        <is>
          <t>Authentication &amp; Session</t>
        </is>
      </c>
      <c r="C24" s="33" t="inlineStr">
        <is>
          <t>Self-service password reset</t>
        </is>
      </c>
      <c r="D24" s="34" t="n">
        <v>1</v>
      </c>
      <c r="E24" s="32" t="inlineStr">
        <is>
          <t>Use 'Forgot password' and submit the account email</t>
        </is>
      </c>
      <c r="F24" s="32" t="inlineStr">
        <is>
          <t>registered email</t>
        </is>
      </c>
      <c r="G24" s="32" t="inlineStr">
        <is>
          <t>Reset initiation confirmed (no account enumeration).</t>
        </is>
      </c>
      <c r="H24" s="32" t="inlineStr"/>
      <c r="I24" s="35" t="inlineStr">
        <is>
          <t>Not Run</t>
        </is>
      </c>
      <c r="J24" s="32" t="inlineStr"/>
    </row>
    <row r="25">
      <c r="A25" s="27" t="inlineStr"/>
      <c r="B25" s="27" t="inlineStr"/>
      <c r="C25" s="27" t="inlineStr"/>
      <c r="D25" s="36" t="n">
        <v>2</v>
      </c>
      <c r="E25" s="27" t="inlineStr">
        <is>
          <t>Complete reset with a new password</t>
        </is>
      </c>
      <c r="F25" s="27" t="inlineStr">
        <is>
          <t>new password</t>
        </is>
      </c>
      <c r="G25" s="27" t="inlineStr">
        <is>
          <t>New password set.</t>
        </is>
      </c>
      <c r="H25" s="27" t="inlineStr"/>
      <c r="I25" s="28" t="inlineStr">
        <is>
          <t>Not Run</t>
        </is>
      </c>
      <c r="J25" s="27" t="inlineStr"/>
    </row>
    <row r="26">
      <c r="A26" s="27" t="inlineStr"/>
      <c r="B26" s="27" t="inlineStr"/>
      <c r="C26" s="27" t="inlineStr"/>
      <c r="D26" s="36" t="n">
        <v>3</v>
      </c>
      <c r="E26" s="27" t="inlineStr">
        <is>
          <t>Sign in with the old password</t>
        </is>
      </c>
      <c r="F26" s="27" t="inlineStr">
        <is>
          <t>old password</t>
        </is>
      </c>
      <c r="G26" s="27" t="inlineStr">
        <is>
          <t>Rejected.</t>
        </is>
      </c>
      <c r="H26" s="27" t="inlineStr"/>
      <c r="I26" s="28" t="inlineStr">
        <is>
          <t>Not Run</t>
        </is>
      </c>
      <c r="J26" s="27" t="inlineStr"/>
    </row>
    <row r="27">
      <c r="A27" s="31" t="inlineStr">
        <is>
          <t>TC-RBAC-001</t>
        </is>
      </c>
      <c r="B27" s="32" t="inlineStr">
        <is>
          <t>Roles, Permissions &amp; Isolation</t>
        </is>
      </c>
      <c r="C27" s="33" t="inlineStr">
        <is>
          <t>Role-appropriate navigation</t>
        </is>
      </c>
      <c r="D27" s="34" t="n">
        <v>1</v>
      </c>
      <c r="E27" s="32" t="inlineStr">
        <is>
          <t>Sign in as a School Administrator</t>
        </is>
      </c>
      <c r="F27" s="32" t="inlineStr">
        <is>
          <t>-</t>
        </is>
      </c>
      <c r="G27" s="32" t="inlineStr">
        <is>
          <t>Dashboard loads.</t>
        </is>
      </c>
      <c r="H27" s="32" t="inlineStr"/>
      <c r="I27" s="35" t="inlineStr">
        <is>
          <t>Not Run</t>
        </is>
      </c>
      <c r="J27" s="32" t="inlineStr"/>
    </row>
    <row r="28">
      <c r="A28" s="27" t="inlineStr"/>
      <c r="B28" s="27" t="inlineStr"/>
      <c r="C28" s="27" t="inlineStr"/>
      <c r="D28" s="36" t="n">
        <v>2</v>
      </c>
      <c r="E28" s="27" t="inlineStr">
        <is>
          <t>Review the left navigation</t>
        </is>
      </c>
      <c r="F28" s="27" t="inlineStr">
        <is>
          <t>-</t>
        </is>
      </c>
      <c r="G28" s="27" t="inlineStr">
        <is>
          <t>Admin sections present; platform-only items absent.</t>
        </is>
      </c>
      <c r="H28" s="27" t="inlineStr"/>
      <c r="I28" s="28" t="inlineStr">
        <is>
          <t>Not Run</t>
        </is>
      </c>
      <c r="J28" s="27" t="inlineStr"/>
    </row>
    <row r="29">
      <c r="A29" s="31" t="inlineStr">
        <is>
          <t>TC-RBAC-002</t>
        </is>
      </c>
      <c r="B29" s="32" t="inlineStr">
        <is>
          <t>Roles, Permissions &amp; Isolation</t>
        </is>
      </c>
      <c r="C29" s="33" t="inlineStr">
        <is>
          <t>Deny unauthorized route access</t>
        </is>
      </c>
      <c r="D29" s="34" t="n">
        <v>1</v>
      </c>
      <c r="E29" s="32" t="inlineStr">
        <is>
          <t>Sign in as a user without a given permission</t>
        </is>
      </c>
      <c r="F29" s="32" t="inlineStr">
        <is>
          <t>-</t>
        </is>
      </c>
      <c r="G29" s="32" t="inlineStr">
        <is>
          <t>Dashboard loads.</t>
        </is>
      </c>
      <c r="H29" s="32" t="inlineStr"/>
      <c r="I29" s="35" t="inlineStr">
        <is>
          <t>Not Run</t>
        </is>
      </c>
      <c r="J29" s="32" t="inlineStr"/>
    </row>
    <row r="30">
      <c r="A30" s="27" t="inlineStr"/>
      <c r="B30" s="27" t="inlineStr"/>
      <c r="C30" s="27" t="inlineStr"/>
      <c r="D30" s="36" t="n">
        <v>2</v>
      </c>
      <c r="E30" s="27" t="inlineStr">
        <is>
          <t>Manually navigate to a protected URL/endpoint</t>
        </is>
      </c>
      <c r="F30" s="27" t="inlineStr">
        <is>
          <t>protected route</t>
        </is>
      </c>
      <c r="G30" s="27" t="inlineStr">
        <is>
          <t>403 / access-denied; no data leaked.</t>
        </is>
      </c>
      <c r="H30" s="27" t="inlineStr"/>
      <c r="I30" s="28" t="inlineStr">
        <is>
          <t>Not Run</t>
        </is>
      </c>
      <c r="J30" s="27" t="inlineStr"/>
    </row>
    <row r="31">
      <c r="A31" s="31" t="inlineStr">
        <is>
          <t>TC-RBAC-003</t>
        </is>
      </c>
      <c r="B31" s="32" t="inlineStr">
        <is>
          <t>Roles, Permissions &amp; Isolation</t>
        </is>
      </c>
      <c r="C31" s="33" t="inlineStr">
        <is>
          <t>Tenant role override grants access</t>
        </is>
      </c>
      <c r="D31" s="34" t="n">
        <v>1</v>
      </c>
      <c r="E31" s="32" t="inlineStr">
        <is>
          <t>Assign an override permission to a role</t>
        </is>
      </c>
      <c r="F31" s="32" t="inlineStr">
        <is>
          <t>permission grant</t>
        </is>
      </c>
      <c r="G31" s="32" t="inlineStr">
        <is>
          <t>Saved.</t>
        </is>
      </c>
      <c r="H31" s="32" t="inlineStr"/>
      <c r="I31" s="35" t="inlineStr">
        <is>
          <t>Not Run</t>
        </is>
      </c>
      <c r="J31" s="32" t="inlineStr"/>
    </row>
    <row r="32">
      <c r="A32" s="27" t="inlineStr"/>
      <c r="B32" s="27" t="inlineStr"/>
      <c r="C32" s="27" t="inlineStr"/>
      <c r="D32" s="36" t="n">
        <v>2</v>
      </c>
      <c r="E32" s="27" t="inlineStr">
        <is>
          <t>Sign in as a user with that role</t>
        </is>
      </c>
      <c r="F32" s="27" t="inlineStr">
        <is>
          <t>-</t>
        </is>
      </c>
      <c r="G32" s="27" t="inlineStr">
        <is>
          <t>The newly permitted section is now accessible.</t>
        </is>
      </c>
      <c r="H32" s="27" t="inlineStr"/>
      <c r="I32" s="28" t="inlineStr">
        <is>
          <t>Not Run</t>
        </is>
      </c>
      <c r="J32" s="27" t="inlineStr"/>
    </row>
    <row r="33">
      <c r="A33" s="31" t="inlineStr">
        <is>
          <t>TC-RBAC-004</t>
        </is>
      </c>
      <c r="B33" s="32" t="inlineStr">
        <is>
          <t>Roles, Permissions &amp; Isolation</t>
        </is>
      </c>
      <c r="C33" s="33" t="inlineStr">
        <is>
          <t>Platform-admin plane access</t>
        </is>
      </c>
      <c r="D33" s="34" t="n">
        <v>1</v>
      </c>
      <c r="E33" s="32" t="inlineStr">
        <is>
          <t>Sign in as a platform admin</t>
        </is>
      </c>
      <c r="F33" s="32" t="inlineStr">
        <is>
          <t>-</t>
        </is>
      </c>
      <c r="G33" s="32" t="inlineStr">
        <is>
          <t>Platform areas visible per staffAreas/canAccessArea.</t>
        </is>
      </c>
      <c r="H33" s="32" t="inlineStr"/>
      <c r="I33" s="35" t="inlineStr">
        <is>
          <t>Not Run</t>
        </is>
      </c>
      <c r="J33" s="32" t="inlineStr"/>
    </row>
    <row r="34">
      <c r="A34" s="27" t="inlineStr"/>
      <c r="B34" s="27" t="inlineStr"/>
      <c r="C34" s="27" t="inlineStr"/>
      <c r="D34" s="36" t="n">
        <v>2</v>
      </c>
      <c r="E34" s="27" t="inlineStr">
        <is>
          <t>Sign in as a normal tenant admin</t>
        </is>
      </c>
      <c r="F34" s="27" t="inlineStr">
        <is>
          <t>-</t>
        </is>
      </c>
      <c r="G34" s="27" t="inlineStr">
        <is>
          <t>Platform plane is not reachable.</t>
        </is>
      </c>
      <c r="H34" s="27" t="inlineStr"/>
      <c r="I34" s="28" t="inlineStr">
        <is>
          <t>Not Run</t>
        </is>
      </c>
      <c r="J34" s="27" t="inlineStr"/>
    </row>
    <row r="35">
      <c r="A35" s="31" t="inlineStr">
        <is>
          <t>TC-RBAC-005</t>
        </is>
      </c>
      <c r="B35" s="32" t="inlineStr">
        <is>
          <t>Roles, Permissions &amp; Isolation</t>
        </is>
      </c>
      <c r="C35" s="33" t="inlineStr">
        <is>
          <t>Cross-tenant access is blocked</t>
        </is>
      </c>
      <c r="D35" s="34" t="n">
        <v>1</v>
      </c>
      <c r="E35" s="32" t="inlineStr">
        <is>
          <t>Sign in as an admin of Tenant A</t>
        </is>
      </c>
      <c r="F35" s="32" t="inlineStr">
        <is>
          <t>-</t>
        </is>
      </c>
      <c r="G35" s="32" t="inlineStr">
        <is>
          <t>Only Tenant A data listed.</t>
        </is>
      </c>
      <c r="H35" s="32" t="inlineStr"/>
      <c r="I35" s="35" t="inlineStr">
        <is>
          <t>Not Run</t>
        </is>
      </c>
      <c r="J35" s="32" t="inlineStr"/>
    </row>
    <row r="36">
      <c r="A36" s="27" t="inlineStr"/>
      <c r="B36" s="27" t="inlineStr"/>
      <c r="C36" s="27" t="inlineStr"/>
      <c r="D36" s="36" t="n">
        <v>2</v>
      </c>
      <c r="E36" s="27" t="inlineStr">
        <is>
          <t>Request a Tenant B record id directly</t>
        </is>
      </c>
      <c r="F36" s="27" t="inlineStr">
        <is>
          <t>B record id</t>
        </is>
      </c>
      <c r="G36" s="27" t="inlineStr">
        <is>
          <t>Access denied via assertTenantAccess; nothing returned.</t>
        </is>
      </c>
      <c r="H36" s="27" t="inlineStr"/>
      <c r="I36" s="28" t="inlineStr">
        <is>
          <t>Not Run</t>
        </is>
      </c>
      <c r="J36" s="27" t="inlineStr"/>
    </row>
    <row r="37">
      <c r="A37" s="31" t="inlineStr">
        <is>
          <t>TC-RBAC-006</t>
        </is>
      </c>
      <c r="B37" s="32" t="inlineStr">
        <is>
          <t>Roles, Permissions &amp; Isolation</t>
        </is>
      </c>
      <c r="C37" s="33" t="inlineStr">
        <is>
          <t>Staff-area gate enforced</t>
        </is>
      </c>
      <c r="D37" s="34" t="n">
        <v>1</v>
      </c>
      <c r="E37" s="32" t="inlineStr">
        <is>
          <t>Access the staff area as an authorised staff member</t>
        </is>
      </c>
      <c r="F37" s="32" t="inlineStr">
        <is>
          <t>-</t>
        </is>
      </c>
      <c r="G37" s="32" t="inlineStr">
        <is>
          <t>Allowed.</t>
        </is>
      </c>
      <c r="H37" s="32" t="inlineStr"/>
      <c r="I37" s="35" t="inlineStr">
        <is>
          <t>Not Run</t>
        </is>
      </c>
      <c r="J37" s="32" t="inlineStr"/>
    </row>
    <row r="38">
      <c r="A38" s="27" t="inlineStr"/>
      <c r="B38" s="27" t="inlineStr"/>
      <c r="C38" s="27" t="inlineStr"/>
      <c r="D38" s="36" t="n">
        <v>2</v>
      </c>
      <c r="E38" s="27" t="inlineStr">
        <is>
          <t>Access it as a non-staff user</t>
        </is>
      </c>
      <c r="F38" s="27" t="inlineStr">
        <is>
          <t>-</t>
        </is>
      </c>
      <c r="G38" s="27" t="inlineStr">
        <is>
          <t>Blocked.</t>
        </is>
      </c>
      <c r="H38" s="27" t="inlineStr"/>
      <c r="I38" s="28" t="inlineStr">
        <is>
          <t>Not Run</t>
        </is>
      </c>
      <c r="J38" s="27" t="inlineStr"/>
    </row>
    <row r="39">
      <c r="A39" s="31" t="inlineStr">
        <is>
          <t>TC-AM-001</t>
        </is>
      </c>
      <c r="B39" s="32" t="inlineStr">
        <is>
          <t>Account Manager Scoping</t>
        </is>
      </c>
      <c r="C39" s="33" t="inlineStr">
        <is>
          <t>AM sees only in-scope schools (geo)</t>
        </is>
      </c>
      <c r="D39" s="34" t="n">
        <v>1</v>
      </c>
      <c r="E39" s="32" t="inlineStr">
        <is>
          <t>Sign in as an Account Manager</t>
        </is>
      </c>
      <c r="F39" s="32" t="inlineStr">
        <is>
          <t>-</t>
        </is>
      </c>
      <c r="G39" s="32" t="inlineStr">
        <is>
          <t>Portfolio dashboard loads.</t>
        </is>
      </c>
      <c r="H39" s="32" t="inlineStr"/>
      <c r="I39" s="35" t="inlineStr">
        <is>
          <t>Not Run</t>
        </is>
      </c>
      <c r="J39" s="32" t="inlineStr"/>
    </row>
    <row r="40">
      <c r="A40" s="27" t="inlineStr"/>
      <c r="B40" s="27" t="inlineStr"/>
      <c r="C40" s="27" t="inlineStr"/>
      <c r="D40" s="36" t="n">
        <v>2</v>
      </c>
      <c r="E40" s="27" t="inlineStr">
        <is>
          <t>Open the schools list</t>
        </is>
      </c>
      <c r="F40" s="27" t="inlineStr">
        <is>
          <t>-</t>
        </is>
      </c>
      <c r="G40" s="27" t="inlineStr">
        <is>
          <t>Only schools within the AM's county/country appear.</t>
        </is>
      </c>
      <c r="H40" s="27" t="inlineStr"/>
      <c r="I40" s="28" t="inlineStr">
        <is>
          <t>Not Run</t>
        </is>
      </c>
      <c r="J40" s="27" t="inlineStr"/>
    </row>
    <row r="41">
      <c r="A41" s="31" t="inlineStr">
        <is>
          <t>TC-AM-002</t>
        </is>
      </c>
      <c r="B41" s="32" t="inlineStr">
        <is>
          <t>Account Manager Scoping</t>
        </is>
      </c>
      <c r="C41" s="33" t="inlineStr">
        <is>
          <t>AM explicit school assignment</t>
        </is>
      </c>
      <c r="D41" s="34" t="n">
        <v>1</v>
      </c>
      <c r="E41" s="32" t="inlineStr">
        <is>
          <t>Assign a school to the AM explicitly</t>
        </is>
      </c>
      <c r="F41" s="32" t="inlineStr">
        <is>
          <t>assignment</t>
        </is>
      </c>
      <c r="G41" s="32" t="inlineStr">
        <is>
          <t>Saved.</t>
        </is>
      </c>
      <c r="H41" s="32" t="inlineStr"/>
      <c r="I41" s="35" t="inlineStr">
        <is>
          <t>Not Run</t>
        </is>
      </c>
      <c r="J41" s="32" t="inlineStr"/>
    </row>
    <row r="42">
      <c r="A42" s="27" t="inlineStr"/>
      <c r="B42" s="27" t="inlineStr"/>
      <c r="C42" s="27" t="inlineStr"/>
      <c r="D42" s="36" t="n">
        <v>2</v>
      </c>
      <c r="E42" s="27" t="inlineStr">
        <is>
          <t>View the AM's school list</t>
        </is>
      </c>
      <c r="F42" s="27" t="inlineStr">
        <is>
          <t>-</t>
        </is>
      </c>
      <c r="G42" s="27" t="inlineStr">
        <is>
          <t>The explicitly assigned school is present in addition to geo-scoped ones.</t>
        </is>
      </c>
      <c r="H42" s="27" t="inlineStr"/>
      <c r="I42" s="28" t="inlineStr">
        <is>
          <t>Not Run</t>
        </is>
      </c>
      <c r="J42" s="27" t="inlineStr"/>
    </row>
    <row r="43">
      <c r="A43" s="31" t="inlineStr">
        <is>
          <t>TC-AM-003</t>
        </is>
      </c>
      <c r="B43" s="32" t="inlineStr">
        <is>
          <t>Account Manager Scoping</t>
        </is>
      </c>
      <c r="C43" s="33" t="inlineStr">
        <is>
          <t>Out-of-scope sub-route blocked</t>
        </is>
      </c>
      <c r="D43" s="34" t="n">
        <v>1</v>
      </c>
      <c r="E43" s="32" t="inlineStr">
        <is>
          <t>As the AM, request an out-of-scope school sub-route</t>
        </is>
      </c>
      <c r="F43" s="32" t="inlineStr">
        <is>
          <t>out-of-scope school id</t>
        </is>
      </c>
      <c r="G43" s="32" t="inlineStr">
        <is>
          <t>Blocked at the isMemberOf/scopedSchoolIds chokepoint.</t>
        </is>
      </c>
      <c r="H43" s="32" t="inlineStr"/>
      <c r="I43" s="35" t="inlineStr">
        <is>
          <t>Not Run</t>
        </is>
      </c>
      <c r="J43" s="32" t="inlineStr"/>
    </row>
    <row r="44">
      <c r="A44" s="31" t="inlineStr">
        <is>
          <t>TC-AM-004</t>
        </is>
      </c>
      <c r="B44" s="32" t="inlineStr">
        <is>
          <t>Account Manager Scoping</t>
        </is>
      </c>
      <c r="C44" s="33" t="inlineStr">
        <is>
          <t>Scoped school-id set correctness</t>
        </is>
      </c>
      <c r="D44" s="34" t="n">
        <v>1</v>
      </c>
      <c r="E44" s="32" t="inlineStr">
        <is>
          <t>Inspect the AM's accessible school ids</t>
        </is>
      </c>
      <c r="F44" s="32" t="inlineStr">
        <is>
          <t>-</t>
        </is>
      </c>
      <c r="G44" s="32" t="inlineStr">
        <is>
          <t>Set equals the union of geo-covered and explicitly assigned schools; no others.</t>
        </is>
      </c>
      <c r="H44" s="32" t="inlineStr"/>
      <c r="I44" s="35" t="inlineStr">
        <is>
          <t>Not Run</t>
        </is>
      </c>
      <c r="J44" s="32" t="inlineStr"/>
    </row>
    <row r="45">
      <c r="A45" s="31" t="inlineStr">
        <is>
          <t>TC-SADM-001</t>
        </is>
      </c>
      <c r="B45" s="32" t="inlineStr">
        <is>
          <t>Super-Admin / Platform Mgmt</t>
        </is>
      </c>
      <c r="C45" s="33" t="inlineStr">
        <is>
          <t>School list view</t>
        </is>
      </c>
      <c r="D45" s="34" t="n">
        <v>1</v>
      </c>
      <c r="E45" s="32" t="inlineStr">
        <is>
          <t>Open Super-Admin &gt; Schools</t>
        </is>
      </c>
      <c r="F45" s="32" t="inlineStr">
        <is>
          <t>-</t>
        </is>
      </c>
      <c r="G45" s="32" t="inlineStr">
        <is>
          <t>Paginated/filterable school list with status, plan and activation state.</t>
        </is>
      </c>
      <c r="H45" s="32" t="inlineStr"/>
      <c r="I45" s="35" t="inlineStr">
        <is>
          <t>Not Run</t>
        </is>
      </c>
      <c r="J45" s="32" t="inlineStr"/>
    </row>
    <row r="46">
      <c r="A46" s="31" t="inlineStr">
        <is>
          <t>TC-SADM-002</t>
        </is>
      </c>
      <c r="B46" s="32" t="inlineStr">
        <is>
          <t>Super-Admin / Platform Mgmt</t>
        </is>
      </c>
      <c r="C46" s="33" t="inlineStr">
        <is>
          <t>School detail view</t>
        </is>
      </c>
      <c r="D46" s="34" t="n">
        <v>1</v>
      </c>
      <c r="E46" s="32" t="inlineStr">
        <is>
          <t>Open a school from the list</t>
        </is>
      </c>
      <c r="F46" s="32" t="inlineStr">
        <is>
          <t>-</t>
        </is>
      </c>
      <c r="G46" s="32" t="inlineStr">
        <is>
          <t>Detail view loads.</t>
        </is>
      </c>
      <c r="H46" s="32" t="inlineStr"/>
      <c r="I46" s="35" t="inlineStr">
        <is>
          <t>Not Run</t>
        </is>
      </c>
      <c r="J46" s="32" t="inlineStr"/>
    </row>
    <row r="47">
      <c r="A47" s="27" t="inlineStr"/>
      <c r="B47" s="27" t="inlineStr"/>
      <c r="C47" s="27" t="inlineStr"/>
      <c r="D47" s="36" t="n">
        <v>2</v>
      </c>
      <c r="E47" s="27" t="inlineStr">
        <is>
          <t>Review sections</t>
        </is>
      </c>
      <c r="F47" s="27" t="inlineStr">
        <is>
          <t>-</t>
        </is>
      </c>
      <c r="G47" s="27" t="inlineStr">
        <is>
          <t>Profile, subscription/commercial, activation status and history are shown.</t>
        </is>
      </c>
      <c r="H47" s="27" t="inlineStr"/>
      <c r="I47" s="28" t="inlineStr">
        <is>
          <t>Not Run</t>
        </is>
      </c>
      <c r="J47" s="27" t="inlineStr"/>
    </row>
    <row r="48">
      <c r="A48" s="31" t="inlineStr">
        <is>
          <t>TC-SADM-003</t>
        </is>
      </c>
      <c r="B48" s="32" t="inlineStr">
        <is>
          <t>Super-Admin / Platform Mgmt</t>
        </is>
      </c>
      <c r="C48" s="33" t="inlineStr">
        <is>
          <t>Row action (3-dot) menu</t>
        </is>
      </c>
      <c r="D48" s="34" t="n">
        <v>1</v>
      </c>
      <c r="E48" s="32" t="inlineStr">
        <is>
          <t>Open the 3-dot action menu on a school</t>
        </is>
      </c>
      <c r="F48" s="32" t="inlineStr">
        <is>
          <t>-</t>
        </is>
      </c>
      <c r="G48" s="32" t="inlineStr">
        <is>
          <t>Menu lists actions (view, activate, suspend, manage).</t>
        </is>
      </c>
      <c r="H48" s="32" t="inlineStr"/>
      <c r="I48" s="35" t="inlineStr">
        <is>
          <t>Not Run</t>
        </is>
      </c>
      <c r="J48" s="32" t="inlineStr"/>
    </row>
    <row r="49">
      <c r="A49" s="27" t="inlineStr"/>
      <c r="B49" s="27" t="inlineStr"/>
      <c r="C49" s="27" t="inlineStr"/>
      <c r="D49" s="36" t="n">
        <v>2</v>
      </c>
      <c r="E49" s="27" t="inlineStr">
        <is>
          <t>Invoke an action</t>
        </is>
      </c>
      <c r="F49" s="27" t="inlineStr">
        <is>
          <t>action</t>
        </is>
      </c>
      <c r="G49" s="27" t="inlineStr">
        <is>
          <t>The corresponding flow opens / state changes and is audited.</t>
        </is>
      </c>
      <c r="H49" s="27" t="inlineStr"/>
      <c r="I49" s="28" t="inlineStr">
        <is>
          <t>Not Run</t>
        </is>
      </c>
      <c r="J49" s="27" t="inlineStr"/>
    </row>
    <row r="50">
      <c r="A50" s="31" t="inlineStr">
        <is>
          <t>TC-SADM-004</t>
        </is>
      </c>
      <c r="B50" s="32" t="inlineStr">
        <is>
          <t>Super-Admin / Platform Mgmt</t>
        </is>
      </c>
      <c r="C50" s="33" t="inlineStr">
        <is>
          <t>Create a new tenant/school</t>
        </is>
      </c>
      <c r="D50" s="34" t="n">
        <v>1</v>
      </c>
      <c r="E50" s="32" t="inlineStr">
        <is>
          <t>Open create-tenant and complete required fields</t>
        </is>
      </c>
      <c r="F50" s="32" t="inlineStr">
        <is>
          <t>new school details</t>
        </is>
      </c>
      <c r="G50" s="32" t="inlineStr">
        <is>
          <t>Validation passes.</t>
        </is>
      </c>
      <c r="H50" s="32" t="inlineStr"/>
      <c r="I50" s="35" t="inlineStr">
        <is>
          <t>Not Run</t>
        </is>
      </c>
      <c r="J50" s="32" t="inlineStr"/>
    </row>
    <row r="51">
      <c r="A51" s="27" t="inlineStr"/>
      <c r="B51" s="27" t="inlineStr"/>
      <c r="C51" s="27" t="inlineStr"/>
      <c r="D51" s="36" t="n">
        <v>2</v>
      </c>
      <c r="E51" s="27" t="inlineStr">
        <is>
          <t>Submit</t>
        </is>
      </c>
      <c r="F51" s="27" t="inlineStr">
        <is>
          <t>-</t>
        </is>
      </c>
      <c r="G51" s="27" t="inlineStr">
        <is>
          <t>Tenant created; activationStatus = pending; onboarding chain initiated.</t>
        </is>
      </c>
      <c r="H51" s="27" t="inlineStr"/>
      <c r="I51" s="28" t="inlineStr">
        <is>
          <t>Not Run</t>
        </is>
      </c>
      <c r="J51" s="27" t="inlineStr"/>
    </row>
    <row r="52">
      <c r="A52" s="31" t="inlineStr">
        <is>
          <t>TC-SADM-005</t>
        </is>
      </c>
      <c r="B52" s="32" t="inlineStr">
        <is>
          <t>Super-Admin / Platform Mgmt</t>
        </is>
      </c>
      <c r="C52" s="33" t="inlineStr">
        <is>
          <t>Suspend and reactivate a school</t>
        </is>
      </c>
      <c r="D52" s="34" t="n">
        <v>1</v>
      </c>
      <c r="E52" s="32" t="inlineStr">
        <is>
          <t>Suspend the school</t>
        </is>
      </c>
      <c r="F52" s="32" t="inlineStr">
        <is>
          <t>-</t>
        </is>
      </c>
      <c r="G52" s="32" t="inlineStr">
        <is>
          <t>Members lose access; state = suspended; audited.</t>
        </is>
      </c>
      <c r="H52" s="32" t="inlineStr"/>
      <c r="I52" s="35" t="inlineStr">
        <is>
          <t>Not Run</t>
        </is>
      </c>
      <c r="J52" s="32" t="inlineStr"/>
    </row>
    <row r="53">
      <c r="A53" s="27" t="inlineStr"/>
      <c r="B53" s="27" t="inlineStr"/>
      <c r="C53" s="27" t="inlineStr"/>
      <c r="D53" s="36" t="n">
        <v>2</v>
      </c>
      <c r="E53" s="27" t="inlineStr">
        <is>
          <t>Reactivate the school</t>
        </is>
      </c>
      <c r="F53" s="27" t="inlineStr">
        <is>
          <t>-</t>
        </is>
      </c>
      <c r="G53" s="27" t="inlineStr">
        <is>
          <t>Access restored; state = active; audited.</t>
        </is>
      </c>
      <c r="H53" s="27" t="inlineStr"/>
      <c r="I53" s="28" t="inlineStr">
        <is>
          <t>Not Run</t>
        </is>
      </c>
      <c r="J53" s="27" t="inlineStr"/>
    </row>
    <row r="54">
      <c r="A54" s="31" t="inlineStr">
        <is>
          <t>TC-COMM-001</t>
        </is>
      </c>
      <c r="B54" s="32" t="inlineStr">
        <is>
          <t>Commercial &amp; Purchase Orders</t>
        </is>
      </c>
      <c r="C54" s="33" t="inlineStr">
        <is>
          <t>Create PO with per-school × term pricing</t>
        </is>
      </c>
      <c r="D54" s="34" t="n">
        <v>1</v>
      </c>
      <c r="E54" s="32" t="inlineStr">
        <is>
          <t>Start a new Purchase Order for a school</t>
        </is>
      </c>
      <c r="F54" s="32" t="inlineStr">
        <is>
          <t>school + term</t>
        </is>
      </c>
      <c r="G54" s="32" t="inlineStr">
        <is>
          <t>PO draft opens with pricing inputs.</t>
        </is>
      </c>
      <c r="H54" s="32" t="inlineStr"/>
      <c r="I54" s="35" t="inlineStr">
        <is>
          <t>Not Run</t>
        </is>
      </c>
      <c r="J54" s="32" t="inlineStr"/>
    </row>
    <row r="55">
      <c r="A55" s="27" t="inlineStr"/>
      <c r="B55" s="27" t="inlineStr"/>
      <c r="C55" s="27" t="inlineStr"/>
      <c r="D55" s="36" t="n">
        <v>2</v>
      </c>
      <c r="E55" s="27" t="inlineStr">
        <is>
          <t>Confirm the computed line total</t>
        </is>
      </c>
      <c r="F55" s="27" t="inlineStr">
        <is>
          <t>annual rate, term</t>
        </is>
      </c>
      <c r="G55" s="27" t="inlineStr">
        <is>
          <t>computePoCost returns per-school annual × term.</t>
        </is>
      </c>
      <c r="H55" s="27" t="inlineStr"/>
      <c r="I55" s="28" t="inlineStr">
        <is>
          <t>Not Run</t>
        </is>
      </c>
      <c r="J55" s="27" t="inlineStr"/>
    </row>
    <row r="56">
      <c r="A56" s="31" t="inlineStr">
        <is>
          <t>TC-COMM-002</t>
        </is>
      </c>
      <c r="B56" s="32" t="inlineStr">
        <is>
          <t>Commercial &amp; Purchase Orders</t>
        </is>
      </c>
      <c r="C56" s="33" t="inlineStr">
        <is>
          <t>Apply a discount</t>
        </is>
      </c>
      <c r="D56" s="34" t="n">
        <v>1</v>
      </c>
      <c r="E56" s="32" t="inlineStr">
        <is>
          <t>Enter a discount value</t>
        </is>
      </c>
      <c r="F56" s="32" t="inlineStr">
        <is>
          <t>discount</t>
        </is>
      </c>
      <c r="G56" s="32" t="inlineStr">
        <is>
          <t>Total recalculates = base − discount.</t>
        </is>
      </c>
      <c r="H56" s="32" t="inlineStr"/>
      <c r="I56" s="35" t="inlineStr">
        <is>
          <t>Not Run</t>
        </is>
      </c>
      <c r="J56" s="32" t="inlineStr"/>
    </row>
    <row r="57">
      <c r="A57" s="27" t="inlineStr"/>
      <c r="B57" s="27" t="inlineStr"/>
      <c r="C57" s="27" t="inlineStr"/>
      <c r="D57" s="36" t="n">
        <v>2</v>
      </c>
      <c r="E57" s="27" t="inlineStr">
        <is>
          <t>Enter a discount greater than base</t>
        </is>
      </c>
      <c r="F57" s="27" t="inlineStr">
        <is>
          <t>over-discount</t>
        </is>
      </c>
      <c r="G57" s="27" t="inlineStr">
        <is>
          <t>Rejected or clamped; total not negative.</t>
        </is>
      </c>
      <c r="H57" s="27" t="inlineStr"/>
      <c r="I57" s="28" t="inlineStr">
        <is>
          <t>Not Run</t>
        </is>
      </c>
      <c r="J57" s="27" t="inlineStr"/>
    </row>
    <row r="58">
      <c r="A58" s="31" t="inlineStr">
        <is>
          <t>TC-COMM-003</t>
        </is>
      </c>
      <c r="B58" s="32" t="inlineStr">
        <is>
          <t>Commercial &amp; Purchase Orders</t>
        </is>
      </c>
      <c r="C58" s="33" t="inlineStr">
        <is>
          <t>PO reference generation</t>
        </is>
      </c>
      <c r="D58" s="34" t="n">
        <v>1</v>
      </c>
      <c r="E58" s="32" t="inlineStr">
        <is>
          <t>Create a PO</t>
        </is>
      </c>
      <c r="F58" s="32" t="inlineStr">
        <is>
          <t>-</t>
        </is>
      </c>
      <c r="G58" s="32" t="inlineStr">
        <is>
          <t>poReference() assigns a unique reference shown on the PO.</t>
        </is>
      </c>
      <c r="H58" s="32" t="inlineStr"/>
      <c r="I58" s="35" t="inlineStr">
        <is>
          <t>Not Run</t>
        </is>
      </c>
      <c r="J58" s="32" t="inlineStr"/>
    </row>
    <row r="59">
      <c r="A59" s="31" t="inlineStr">
        <is>
          <t>TC-COMM-004</t>
        </is>
      </c>
      <c r="B59" s="32" t="inlineStr">
        <is>
          <t>Commercial &amp; Purchase Orders</t>
        </is>
      </c>
      <c r="C59" s="33" t="inlineStr">
        <is>
          <t>Branded PO PDF export</t>
        </is>
      </c>
      <c r="D59" s="34" t="n">
        <v>1</v>
      </c>
      <c r="E59" s="32" t="inlineStr">
        <is>
          <t>Export the PO to PDF</t>
        </is>
      </c>
      <c r="F59" s="32" t="inlineStr">
        <is>
          <t>-</t>
        </is>
      </c>
      <c r="G59" s="32" t="inlineStr">
        <is>
          <t>Branded PDF with letterhead, line items and totals downloads.</t>
        </is>
      </c>
      <c r="H59" s="32" t="inlineStr"/>
      <c r="I59" s="35" t="inlineStr">
        <is>
          <t>Not Run</t>
        </is>
      </c>
      <c r="J59" s="32" t="inlineStr"/>
    </row>
    <row r="60">
      <c r="A60" s="27" t="inlineStr"/>
      <c r="B60" s="27" t="inlineStr"/>
      <c r="C60" s="27" t="inlineStr"/>
      <c r="D60" s="36" t="n">
        <v>2</v>
      </c>
      <c r="E60" s="27" t="inlineStr">
        <is>
          <t>Open the PDF</t>
        </is>
      </c>
      <c r="F60" s="27" t="inlineStr">
        <is>
          <t>-</t>
        </is>
      </c>
      <c r="G60" s="27" t="inlineStr">
        <is>
          <t>Figures match the PO; footer shows page numbers; download recorded in audit.</t>
        </is>
      </c>
      <c r="H60" s="27" t="inlineStr"/>
      <c r="I60" s="28" t="inlineStr">
        <is>
          <t>Not Run</t>
        </is>
      </c>
      <c r="J60" s="27" t="inlineStr"/>
    </row>
    <row r="61">
      <c r="A61" s="31" t="inlineStr">
        <is>
          <t>TC-COMM-005</t>
        </is>
      </c>
      <c r="B61" s="32" t="inlineStr">
        <is>
          <t>Commercial &amp; Purchase Orders</t>
        </is>
      </c>
      <c r="C61" s="33" t="inlineStr">
        <is>
          <t>PO actions</t>
        </is>
      </c>
      <c r="D61" s="34" t="n">
        <v>1</v>
      </c>
      <c r="E61" s="32" t="inlineStr">
        <is>
          <t>Approve a PO</t>
        </is>
      </c>
      <c r="F61" s="32" t="inlineStr">
        <is>
          <t>-</t>
        </is>
      </c>
      <c r="G61" s="32" t="inlineStr">
        <is>
          <t>State → approved; audited.</t>
        </is>
      </c>
      <c r="H61" s="32" t="inlineStr"/>
      <c r="I61" s="35" t="inlineStr">
        <is>
          <t>Not Run</t>
        </is>
      </c>
      <c r="J61" s="32" t="inlineStr"/>
    </row>
    <row r="62">
      <c r="A62" s="27" t="inlineStr"/>
      <c r="B62" s="27" t="inlineStr"/>
      <c r="C62" s="27" t="inlineStr"/>
      <c r="D62" s="36" t="n">
        <v>2</v>
      </c>
      <c r="E62" s="27" t="inlineStr">
        <is>
          <t>Cancel a PO</t>
        </is>
      </c>
      <c r="F62" s="27" t="inlineStr">
        <is>
          <t>-</t>
        </is>
      </c>
      <c r="G62" s="27" t="inlineStr">
        <is>
          <t>State → cancelled; audited; no further edits.</t>
        </is>
      </c>
      <c r="H62" s="27" t="inlineStr"/>
      <c r="I62" s="28" t="inlineStr">
        <is>
          <t>Not Run</t>
        </is>
      </c>
      <c r="J62" s="27" t="inlineStr"/>
    </row>
    <row r="63">
      <c r="A63" s="31" t="inlineStr">
        <is>
          <t>TC-COMM-006</t>
        </is>
      </c>
      <c r="B63" s="32" t="inlineStr">
        <is>
          <t>Commercial &amp; Purchase Orders</t>
        </is>
      </c>
      <c r="C63" s="33" t="inlineStr">
        <is>
          <t>PO list filters persist</t>
        </is>
      </c>
      <c r="D63" s="34" t="n">
        <v>1</v>
      </c>
      <c r="E63" s="32" t="inlineStr">
        <is>
          <t>Apply status/school filters to the PO list</t>
        </is>
      </c>
      <c r="F63" s="32" t="inlineStr">
        <is>
          <t>filters</t>
        </is>
      </c>
      <c r="G63" s="32" t="inlineStr">
        <is>
          <t>List narrows.</t>
        </is>
      </c>
      <c r="H63" s="32" t="inlineStr"/>
      <c r="I63" s="35" t="inlineStr">
        <is>
          <t>Not Run</t>
        </is>
      </c>
      <c r="J63" s="32" t="inlineStr"/>
    </row>
    <row r="64">
      <c r="A64" s="27" t="inlineStr"/>
      <c r="B64" s="27" t="inlineStr"/>
      <c r="C64" s="27" t="inlineStr"/>
      <c r="D64" s="36" t="n">
        <v>2</v>
      </c>
      <c r="E64" s="27" t="inlineStr">
        <is>
          <t>Refresh the browser</t>
        </is>
      </c>
      <c r="F64" s="27" t="inlineStr">
        <is>
          <t>-</t>
        </is>
      </c>
      <c r="G64" s="27" t="inlineStr">
        <is>
          <t>Filters and view are retained.</t>
        </is>
      </c>
      <c r="H64" s="27" t="inlineStr"/>
      <c r="I64" s="28" t="inlineStr">
        <is>
          <t>Not Run</t>
        </is>
      </c>
      <c r="J64" s="27" t="inlineStr"/>
    </row>
    <row r="65">
      <c r="A65" s="31" t="inlineStr">
        <is>
          <t>TC-ACT-001</t>
        </is>
      </c>
      <c r="B65" s="32" t="inlineStr">
        <is>
          <t>Invoice &amp; Activation Workflow</t>
        </is>
      </c>
      <c r="C65" s="33" t="inlineStr">
        <is>
          <t>New tenant starts pending</t>
        </is>
      </c>
      <c r="D65" s="34" t="n">
        <v>1</v>
      </c>
      <c r="E65" s="32" t="inlineStr">
        <is>
          <t>Create a new tenant and sign in as its admin</t>
        </is>
      </c>
      <c r="F65" s="32" t="inlineStr">
        <is>
          <t>-</t>
        </is>
      </c>
      <c r="G65" s="32" t="inlineStr">
        <is>
          <t>Account-pending gate is shown to the admin.</t>
        </is>
      </c>
      <c r="H65" s="32" t="inlineStr"/>
      <c r="I65" s="35" t="inlineStr">
        <is>
          <t>Not Run</t>
        </is>
      </c>
      <c r="J65" s="32" t="inlineStr"/>
    </row>
    <row r="66">
      <c r="A66" s="31" t="inlineStr">
        <is>
          <t>TC-ACT-002</t>
        </is>
      </c>
      <c r="B66" s="32" t="inlineStr">
        <is>
          <t>Invoice &amp; Activation Workflow</t>
        </is>
      </c>
      <c r="C66" s="33" t="inlineStr">
        <is>
          <t>Existing tenants grandfathered active</t>
        </is>
      </c>
      <c r="D66" s="34" t="n">
        <v>1</v>
      </c>
      <c r="E66" s="32" t="inlineStr">
        <is>
          <t>Sign in as an existing tenant admin</t>
        </is>
      </c>
      <c r="F66" s="32" t="inlineStr">
        <is>
          <t>-</t>
        </is>
      </c>
      <c r="G66" s="32" t="inlineStr">
        <is>
          <t>No pending gate; full access retained.</t>
        </is>
      </c>
      <c r="H66" s="32" t="inlineStr"/>
      <c r="I66" s="35" t="inlineStr">
        <is>
          <t>Not Run</t>
        </is>
      </c>
      <c r="J66" s="32" t="inlineStr"/>
    </row>
    <row r="67">
      <c r="A67" s="31" t="inlineStr">
        <is>
          <t>TC-ACT-003</t>
        </is>
      </c>
      <c r="B67" s="32" t="inlineStr">
        <is>
          <t>Invoice &amp; Activation Workflow</t>
        </is>
      </c>
      <c r="C67" s="33" t="inlineStr">
        <is>
          <t>Submit payment / invoice proof</t>
        </is>
      </c>
      <c r="D67" s="34" t="n">
        <v>1</v>
      </c>
      <c r="E67" s="32" t="inlineStr">
        <is>
          <t>Open the activation/payment screen</t>
        </is>
      </c>
      <c r="F67" s="32" t="inlineStr">
        <is>
          <t>-</t>
        </is>
      </c>
      <c r="G67" s="32" t="inlineStr">
        <is>
          <t>Upload/submit form shown.</t>
        </is>
      </c>
      <c r="H67" s="32" t="inlineStr"/>
      <c r="I67" s="35" t="inlineStr">
        <is>
          <t>Not Run</t>
        </is>
      </c>
      <c r="J67" s="32" t="inlineStr"/>
    </row>
    <row r="68">
      <c r="A68" s="27" t="inlineStr"/>
      <c r="B68" s="27" t="inlineStr"/>
      <c r="C68" s="27" t="inlineStr"/>
      <c r="D68" s="36" t="n">
        <v>2</v>
      </c>
      <c r="E68" s="27" t="inlineStr">
        <is>
          <t>Submit payment proof</t>
        </is>
      </c>
      <c r="F68" s="27" t="inlineStr">
        <is>
          <t>payment submission</t>
        </is>
      </c>
      <c r="G68" s="27" t="inlineStr">
        <is>
          <t>PaymentSubmission recorded; status = submitted.</t>
        </is>
      </c>
      <c r="H68" s="27" t="inlineStr"/>
      <c r="I68" s="28" t="inlineStr">
        <is>
          <t>Not Run</t>
        </is>
      </c>
      <c r="J68" s="27" t="inlineStr"/>
    </row>
    <row r="69">
      <c r="A69" s="31" t="inlineStr">
        <is>
          <t>TC-ACT-004</t>
        </is>
      </c>
      <c r="B69" s="32" t="inlineStr">
        <is>
          <t>Invoice &amp; Activation Workflow</t>
        </is>
      </c>
      <c r="C69" s="33" t="inlineStr">
        <is>
          <t>Rejected payment allows resubmit</t>
        </is>
      </c>
      <c r="D69" s="34" t="n">
        <v>1</v>
      </c>
      <c r="E69" s="32" t="inlineStr">
        <is>
          <t>Reviewer rejects the submission</t>
        </is>
      </c>
      <c r="F69" s="32" t="inlineStr">
        <is>
          <t>reject</t>
        </is>
      </c>
      <c r="G69" s="32" t="inlineStr">
        <is>
          <t>paymentStatus = rejected.</t>
        </is>
      </c>
      <c r="H69" s="32" t="inlineStr"/>
      <c r="I69" s="35" t="inlineStr">
        <is>
          <t>Not Run</t>
        </is>
      </c>
      <c r="J69" s="32" t="inlineStr"/>
    </row>
    <row r="70">
      <c r="A70" s="27" t="inlineStr"/>
      <c r="B70" s="27" t="inlineStr"/>
      <c r="C70" s="27" t="inlineStr"/>
      <c r="D70" s="36" t="n">
        <v>2</v>
      </c>
      <c r="E70" s="27" t="inlineStr">
        <is>
          <t>Return to the activation screen</t>
        </is>
      </c>
      <c r="F70" s="27" t="inlineStr">
        <is>
          <t>-</t>
        </is>
      </c>
      <c r="G70" s="27" t="inlineStr">
        <is>
          <t>Resubmission is allowed.</t>
        </is>
      </c>
      <c r="H70" s="27" t="inlineStr"/>
      <c r="I70" s="28" t="inlineStr">
        <is>
          <t>Not Run</t>
        </is>
      </c>
      <c r="J70" s="27" t="inlineStr"/>
    </row>
    <row r="71">
      <c r="A71" s="31" t="inlineStr">
        <is>
          <t>TC-ACT-005</t>
        </is>
      </c>
      <c r="B71" s="32" t="inlineStr">
        <is>
          <t>Invoice &amp; Activation Workflow</t>
        </is>
      </c>
      <c r="C71" s="33" t="inlineStr">
        <is>
          <t>Manual activation with justification</t>
        </is>
      </c>
      <c r="D71" s="34" t="n">
        <v>1</v>
      </c>
      <c r="E71" s="32" t="inlineStr">
        <is>
          <t>Open manual activation for the tenant</t>
        </is>
      </c>
      <c r="F71" s="32" t="inlineStr">
        <is>
          <t>-</t>
        </is>
      </c>
      <c r="G71" s="32" t="inlineStr">
        <is>
          <t>Justification field required.</t>
        </is>
      </c>
      <c r="H71" s="32" t="inlineStr"/>
      <c r="I71" s="35" t="inlineStr">
        <is>
          <t>Not Run</t>
        </is>
      </c>
      <c r="J71" s="32" t="inlineStr"/>
    </row>
    <row r="72">
      <c r="A72" s="27" t="inlineStr"/>
      <c r="B72" s="27" t="inlineStr"/>
      <c r="C72" s="27" t="inlineStr"/>
      <c r="D72" s="36" t="n">
        <v>2</v>
      </c>
      <c r="E72" s="27" t="inlineStr">
        <is>
          <t>Activate without a justification</t>
        </is>
      </c>
      <c r="F72" s="27" t="inlineStr">
        <is>
          <t>blank</t>
        </is>
      </c>
      <c r="G72" s="27" t="inlineStr">
        <is>
          <t>Blocked.</t>
        </is>
      </c>
      <c r="H72" s="27" t="inlineStr"/>
      <c r="I72" s="28" t="inlineStr">
        <is>
          <t>Not Run</t>
        </is>
      </c>
      <c r="J72" s="27" t="inlineStr"/>
    </row>
    <row r="73">
      <c r="A73" s="27" t="inlineStr"/>
      <c r="B73" s="27" t="inlineStr"/>
      <c r="C73" s="27" t="inlineStr"/>
      <c r="D73" s="36" t="n">
        <v>3</v>
      </c>
      <c r="E73" s="27" t="inlineStr">
        <is>
          <t>Activate with a justification</t>
        </is>
      </c>
      <c r="F73" s="27" t="inlineStr">
        <is>
          <t>justification text</t>
        </is>
      </c>
      <c r="G73" s="27" t="inlineStr">
        <is>
          <t>activateSchool sets activated; ActivationEvent recorded.</t>
        </is>
      </c>
      <c r="H73" s="27" t="inlineStr"/>
      <c r="I73" s="28" t="inlineStr">
        <is>
          <t>Not Run</t>
        </is>
      </c>
      <c r="J73" s="27" t="inlineStr"/>
    </row>
    <row r="74">
      <c r="A74" s="31" t="inlineStr">
        <is>
          <t>TC-ACT-006</t>
        </is>
      </c>
      <c r="B74" s="32" t="inlineStr">
        <is>
          <t>Invoice &amp; Activation Workflow</t>
        </is>
      </c>
      <c r="C74" s="33" t="inlineStr">
        <is>
          <t>Activation history log</t>
        </is>
      </c>
      <c r="D74" s="34" t="n">
        <v>1</v>
      </c>
      <c r="E74" s="32" t="inlineStr">
        <is>
          <t>Open the school's activation history</t>
        </is>
      </c>
      <c r="F74" s="32" t="inlineStr">
        <is>
          <t>-</t>
        </is>
      </c>
      <c r="G74" s="32" t="inlineStr">
        <is>
          <t>activationHistory lists events with actor, reason and timestamp.</t>
        </is>
      </c>
      <c r="H74" s="32" t="inlineStr"/>
      <c r="I74" s="35" t="inlineStr">
        <is>
          <t>Not Run</t>
        </is>
      </c>
      <c r="J74" s="32" t="inlineStr"/>
    </row>
    <row r="75">
      <c r="A75" s="31" t="inlineStr">
        <is>
          <t>TC-ACT-007</t>
        </is>
      </c>
      <c r="B75" s="32" t="inlineStr">
        <is>
          <t>Invoice &amp; Activation Workflow</t>
        </is>
      </c>
      <c r="C75" s="33" t="inlineStr">
        <is>
          <t>Non-admin gate is limited</t>
        </is>
      </c>
      <c r="D75" s="34" t="n">
        <v>1</v>
      </c>
      <c r="E75" s="32" t="inlineStr">
        <is>
          <t>Sign in as a non-admin in a pending tenant</t>
        </is>
      </c>
      <c r="F75" s="32" t="inlineStr">
        <is>
          <t>-</t>
        </is>
      </c>
      <c r="G75" s="32" t="inlineStr">
        <is>
          <t>Only Terms of Business, tour and policies are presented; no payment/activation gate.</t>
        </is>
      </c>
      <c r="H75" s="32" t="inlineStr"/>
      <c r="I75" s="35" t="inlineStr">
        <is>
          <t>Not Run</t>
        </is>
      </c>
      <c r="J75" s="32" t="inlineStr"/>
    </row>
    <row r="76">
      <c r="A76" s="31" t="inlineStr">
        <is>
          <t>TC-MSG-001</t>
        </is>
      </c>
      <c r="B76" s="32" t="inlineStr">
        <is>
          <t>Messaging</t>
        </is>
      </c>
      <c r="C76" s="33" t="inlineStr">
        <is>
          <t>Send a 1:1 message</t>
        </is>
      </c>
      <c r="D76" s="34" t="n">
        <v>1</v>
      </c>
      <c r="E76" s="32" t="inlineStr">
        <is>
          <t>Open a direct thread and type a message</t>
        </is>
      </c>
      <c r="F76" s="32" t="inlineStr">
        <is>
          <t>message text</t>
        </is>
      </c>
      <c r="G76" s="32" t="inlineStr">
        <is>
          <t>Composer accepts input.</t>
        </is>
      </c>
      <c r="H76" s="32" t="inlineStr"/>
      <c r="I76" s="35" t="inlineStr">
        <is>
          <t>Not Run</t>
        </is>
      </c>
      <c r="J76" s="32" t="inlineStr"/>
    </row>
    <row r="77">
      <c r="A77" s="27" t="inlineStr"/>
      <c r="B77" s="27" t="inlineStr"/>
      <c r="C77" s="27" t="inlineStr"/>
      <c r="D77" s="36" t="n">
        <v>2</v>
      </c>
      <c r="E77" s="27" t="inlineStr">
        <is>
          <t>Send</t>
        </is>
      </c>
      <c r="F77" s="27" t="inlineStr">
        <is>
          <t>-</t>
        </is>
      </c>
      <c r="G77" s="27" t="inlineStr">
        <is>
          <t>Message stored (DirectMessageItem) and shown; recipient unread count increments.</t>
        </is>
      </c>
      <c r="H77" s="27" t="inlineStr"/>
      <c r="I77" s="28" t="inlineStr">
        <is>
          <t>Not Run</t>
        </is>
      </c>
      <c r="J77" s="27" t="inlineStr"/>
    </row>
    <row r="78">
      <c r="A78" s="31" t="inlineStr">
        <is>
          <t>TC-MSG-002</t>
        </is>
      </c>
      <c r="B78" s="32" t="inlineStr">
        <is>
          <t>Messaging</t>
        </is>
      </c>
      <c r="C78" s="33" t="inlineStr">
        <is>
          <t>Create a group chat</t>
        </is>
      </c>
      <c r="D78" s="34" t="n">
        <v>1</v>
      </c>
      <c r="E78" s="32" t="inlineStr">
        <is>
          <t>Create a group and add members</t>
        </is>
      </c>
      <c r="F78" s="32" t="inlineStr">
        <is>
          <t>member list</t>
        </is>
      </c>
      <c r="G78" s="32" t="inlineStr">
        <is>
          <t>createGroupThread creates the thread.</t>
        </is>
      </c>
      <c r="H78" s="32" t="inlineStr"/>
      <c r="I78" s="35" t="inlineStr">
        <is>
          <t>Not Run</t>
        </is>
      </c>
      <c r="J78" s="32" t="inlineStr"/>
    </row>
    <row r="79">
      <c r="A79" s="27" t="inlineStr"/>
      <c r="B79" s="27" t="inlineStr"/>
      <c r="C79" s="27" t="inlineStr"/>
      <c r="D79" s="36" t="n">
        <v>2</v>
      </c>
      <c r="E79" s="27" t="inlineStr">
        <is>
          <t>Send a message</t>
        </is>
      </c>
      <c r="F79" s="27" t="inlineStr">
        <is>
          <t>message</t>
        </is>
      </c>
      <c r="G79" s="27" t="inlineStr">
        <is>
          <t>All members receive it.</t>
        </is>
      </c>
      <c r="H79" s="27" t="inlineStr"/>
      <c r="I79" s="28" t="inlineStr">
        <is>
          <t>Not Run</t>
        </is>
      </c>
      <c r="J79" s="27" t="inlineStr"/>
    </row>
    <row r="80">
      <c r="A80" s="31" t="inlineStr">
        <is>
          <t>TC-MSG-003</t>
        </is>
      </c>
      <c r="B80" s="32" t="inlineStr">
        <is>
          <t>Messaging</t>
        </is>
      </c>
      <c r="C80" s="33" t="inlineStr">
        <is>
          <t>Manage members / rename / leave</t>
        </is>
      </c>
      <c r="D80" s="34" t="n">
        <v>1</v>
      </c>
      <c r="E80" s="32" t="inlineStr">
        <is>
          <t>Add and remove a member</t>
        </is>
      </c>
      <c r="F80" s="32" t="inlineStr">
        <is>
          <t>member</t>
        </is>
      </c>
      <c r="G80" s="32" t="inlineStr">
        <is>
          <t>Membership updates.</t>
        </is>
      </c>
      <c r="H80" s="32" t="inlineStr"/>
      <c r="I80" s="35" t="inlineStr">
        <is>
          <t>Not Run</t>
        </is>
      </c>
      <c r="J80" s="32" t="inlineStr"/>
    </row>
    <row r="81">
      <c r="A81" s="27" t="inlineStr"/>
      <c r="B81" s="27" t="inlineStr"/>
      <c r="C81" s="27" t="inlineStr"/>
      <c r="D81" s="36" t="n">
        <v>2</v>
      </c>
      <c r="E81" s="27" t="inlineStr">
        <is>
          <t>Rename the thread and then leave</t>
        </is>
      </c>
      <c r="F81" s="27" t="inlineStr">
        <is>
          <t>new name</t>
        </is>
      </c>
      <c r="G81" s="27" t="inlineStr">
        <is>
          <t>Rename persists; leaving removes the user from the thread.</t>
        </is>
      </c>
      <c r="H81" s="27" t="inlineStr"/>
      <c r="I81" s="28" t="inlineStr">
        <is>
          <t>Not Run</t>
        </is>
      </c>
      <c r="J81" s="27" t="inlineStr"/>
    </row>
    <row r="82">
      <c r="A82" s="31" t="inlineStr">
        <is>
          <t>TC-MSG-004</t>
        </is>
      </c>
      <c r="B82" s="32" t="inlineStr">
        <is>
          <t>Messaging</t>
        </is>
      </c>
      <c r="C82" s="33" t="inlineStr">
        <is>
          <t>@mention notifies the user</t>
        </is>
      </c>
      <c r="D82" s="34" t="n">
        <v>1</v>
      </c>
      <c r="E82" s="32" t="inlineStr">
        <is>
          <t>Type '@' and pick a member</t>
        </is>
      </c>
      <c r="F82" s="32" t="inlineStr">
        <is>
          <t>@name</t>
        </is>
      </c>
      <c r="G82" s="32" t="inlineStr">
        <is>
          <t>Mention inserted (mentionsJson).</t>
        </is>
      </c>
      <c r="H82" s="32" t="inlineStr"/>
      <c r="I82" s="35" t="inlineStr">
        <is>
          <t>Not Run</t>
        </is>
      </c>
      <c r="J82" s="32" t="inlineStr"/>
    </row>
    <row r="83">
      <c r="A83" s="27" t="inlineStr"/>
      <c r="B83" s="27" t="inlineStr"/>
      <c r="C83" s="27" t="inlineStr"/>
      <c r="D83" s="36" t="n">
        <v>2</v>
      </c>
      <c r="E83" s="27" t="inlineStr">
        <is>
          <t>Send</t>
        </is>
      </c>
      <c r="F83" s="27" t="inlineStr">
        <is>
          <t>-</t>
        </is>
      </c>
      <c r="G83" s="27" t="inlineStr">
        <is>
          <t>Mentioned user receives a notification.</t>
        </is>
      </c>
      <c r="H83" s="27" t="inlineStr"/>
      <c r="I83" s="28" t="inlineStr">
        <is>
          <t>Not Run</t>
        </is>
      </c>
      <c r="J83" s="27" t="inlineStr"/>
    </row>
    <row r="84">
      <c r="A84" s="31" t="inlineStr">
        <is>
          <t>TC-MSG-005</t>
        </is>
      </c>
      <c r="B84" s="32" t="inlineStr">
        <is>
          <t>Messaging</t>
        </is>
      </c>
      <c r="C84" s="33" t="inlineStr">
        <is>
          <t>Reply to a message</t>
        </is>
      </c>
      <c r="D84" s="34" t="n">
        <v>1</v>
      </c>
      <c r="E84" s="32" t="inlineStr">
        <is>
          <t>Reply to an existing message</t>
        </is>
      </c>
      <c r="F84" s="32" t="inlineStr">
        <is>
          <t>reply text</t>
        </is>
      </c>
      <c r="G84" s="32" t="inlineStr">
        <is>
          <t>parentId set to the original.</t>
        </is>
      </c>
      <c r="H84" s="32" t="inlineStr"/>
      <c r="I84" s="35" t="inlineStr">
        <is>
          <t>Not Run</t>
        </is>
      </c>
      <c r="J84" s="32" t="inlineStr"/>
    </row>
    <row r="85">
      <c r="A85" s="27" t="inlineStr"/>
      <c r="B85" s="27" t="inlineStr"/>
      <c r="C85" s="27" t="inlineStr"/>
      <c r="D85" s="36" t="n">
        <v>2</v>
      </c>
      <c r="E85" s="27" t="inlineStr">
        <is>
          <t>Delete the parent</t>
        </is>
      </c>
      <c r="F85" s="27" t="inlineStr">
        <is>
          <t>-</t>
        </is>
      </c>
      <c r="G85" s="27" t="inlineStr">
        <is>
          <t>Reply survives with parent set null (onDelete: SetNull).</t>
        </is>
      </c>
      <c r="H85" s="27" t="inlineStr"/>
      <c r="I85" s="28" t="inlineStr">
        <is>
          <t>Not Run</t>
        </is>
      </c>
      <c r="J85" s="27" t="inlineStr"/>
    </row>
    <row r="86">
      <c r="A86" s="31" t="inlineStr">
        <is>
          <t>TC-MSG-006</t>
        </is>
      </c>
      <c r="B86" s="32" t="inlineStr">
        <is>
          <t>Messaging</t>
        </is>
      </c>
      <c r="C86" s="33" t="inlineStr">
        <is>
          <t>React to a message</t>
        </is>
      </c>
      <c r="D86" s="34" t="n">
        <v>1</v>
      </c>
      <c r="E86" s="32" t="inlineStr">
        <is>
          <t>Add a reaction</t>
        </is>
      </c>
      <c r="F86" s="32" t="inlineStr">
        <is>
          <t>emoji</t>
        </is>
      </c>
      <c r="G86" s="32" t="inlineStr">
        <is>
          <t>DirectMessageReaction recorded and shown.</t>
        </is>
      </c>
      <c r="H86" s="32" t="inlineStr"/>
      <c r="I86" s="35" t="inlineStr">
        <is>
          <t>Not Run</t>
        </is>
      </c>
      <c r="J86" s="32" t="inlineStr"/>
    </row>
    <row r="87">
      <c r="A87" s="27" t="inlineStr"/>
      <c r="B87" s="27" t="inlineStr"/>
      <c r="C87" s="27" t="inlineStr"/>
      <c r="D87" s="36" t="n">
        <v>2</v>
      </c>
      <c r="E87" s="27" t="inlineStr">
        <is>
          <t>Remove the reaction</t>
        </is>
      </c>
      <c r="F87" s="27" t="inlineStr">
        <is>
          <t>-</t>
        </is>
      </c>
      <c r="G87" s="27" t="inlineStr">
        <is>
          <t>Reaction cleared.</t>
        </is>
      </c>
      <c r="H87" s="27" t="inlineStr"/>
      <c r="I87" s="28" t="inlineStr">
        <is>
          <t>Not Run</t>
        </is>
      </c>
      <c r="J87" s="27" t="inlineStr"/>
    </row>
    <row r="88">
      <c r="A88" s="31" t="inlineStr">
        <is>
          <t>TC-MSG-007</t>
        </is>
      </c>
      <c r="B88" s="32" t="inlineStr">
        <is>
          <t>Messaging</t>
        </is>
      </c>
      <c r="C88" s="33" t="inlineStr">
        <is>
          <t>Read receipts / unread counts</t>
        </is>
      </c>
      <c r="D88" s="34" t="n">
        <v>1</v>
      </c>
      <c r="E88" s="32" t="inlineStr">
        <is>
          <t>Observe the unread badge</t>
        </is>
      </c>
      <c r="F88" s="32" t="inlineStr">
        <is>
          <t>-</t>
        </is>
      </c>
      <c r="G88" s="32" t="inlineStr">
        <is>
          <t>Count reflects unread messages.</t>
        </is>
      </c>
      <c r="H88" s="32" t="inlineStr"/>
      <c r="I88" s="35" t="inlineStr">
        <is>
          <t>Not Run</t>
        </is>
      </c>
      <c r="J88" s="32" t="inlineStr"/>
    </row>
    <row r="89">
      <c r="A89" s="27" t="inlineStr"/>
      <c r="B89" s="27" t="inlineStr"/>
      <c r="C89" s="27" t="inlineStr"/>
      <c r="D89" s="36" t="n">
        <v>2</v>
      </c>
      <c r="E89" s="27" t="inlineStr">
        <is>
          <t>Open the thread</t>
        </is>
      </c>
      <c r="F89" s="27" t="inlineStr">
        <is>
          <t>-</t>
        </is>
      </c>
      <c r="G89" s="27" t="inlineStr">
        <is>
          <t>lastReadAt updates; badge clears.</t>
        </is>
      </c>
      <c r="H89" s="27" t="inlineStr"/>
      <c r="I89" s="28" t="inlineStr">
        <is>
          <t>Not Run</t>
        </is>
      </c>
      <c r="J89" s="27" t="inlineStr"/>
    </row>
    <row r="90">
      <c r="A90" s="31" t="inlineStr">
        <is>
          <t>TC-MSG-008</t>
        </is>
      </c>
      <c r="B90" s="32" t="inlineStr">
        <is>
          <t>Messaging</t>
        </is>
      </c>
      <c r="C90" s="33" t="inlineStr">
        <is>
          <t>Send an attachment</t>
        </is>
      </c>
      <c r="D90" s="34" t="n">
        <v>1</v>
      </c>
      <c r="E90" s="32" t="inlineStr">
        <is>
          <t>Attach a file within the size cap</t>
        </is>
      </c>
      <c r="F90" s="32" t="inlineStr">
        <is>
          <t>valid attachment</t>
        </is>
      </c>
      <c r="G90" s="32" t="inlineStr">
        <is>
          <t>Preview shown (attachmentsJson).</t>
        </is>
      </c>
      <c r="H90" s="32" t="inlineStr"/>
      <c r="I90" s="35" t="inlineStr">
        <is>
          <t>Not Run</t>
        </is>
      </c>
      <c r="J90" s="32" t="inlineStr"/>
    </row>
    <row r="91">
      <c r="A91" s="27" t="inlineStr"/>
      <c r="B91" s="27" t="inlineStr"/>
      <c r="C91" s="27" t="inlineStr"/>
      <c r="D91" s="36" t="n">
        <v>2</v>
      </c>
      <c r="E91" s="27" t="inlineStr">
        <is>
          <t>Attach an oversized file</t>
        </is>
      </c>
      <c r="F91" s="27" t="inlineStr">
        <is>
          <t>oversized</t>
        </is>
      </c>
      <c r="G91" s="27" t="inlineStr">
        <is>
          <t>Rejected with a clear message.</t>
        </is>
      </c>
      <c r="H91" s="27" t="inlineStr"/>
      <c r="I91" s="28" t="inlineStr">
        <is>
          <t>Not Run</t>
        </is>
      </c>
      <c r="J91" s="27" t="inlineStr"/>
    </row>
    <row r="92">
      <c r="A92" s="31" t="inlineStr">
        <is>
          <t>TC-MSG-009</t>
        </is>
      </c>
      <c r="B92" s="32" t="inlineStr">
        <is>
          <t>Messaging</t>
        </is>
      </c>
      <c r="C92" s="33" t="inlineStr">
        <is>
          <t>HTML sanitisation blocks XSS</t>
        </is>
      </c>
      <c r="D92" s="34" t="n">
        <v>1</v>
      </c>
      <c r="E92" s="32" t="inlineStr">
        <is>
          <t>Send a message containing a script/onerror payload</t>
        </is>
      </c>
      <c r="F92" s="32" t="inlineStr">
        <is>
          <t>&lt;script&gt;…</t>
        </is>
      </c>
      <c r="G92" s="32" t="inlineStr">
        <is>
          <t>sanitize-html strips unsafe nodes.</t>
        </is>
      </c>
      <c r="H92" s="32" t="inlineStr"/>
      <c r="I92" s="35" t="inlineStr">
        <is>
          <t>Not Run</t>
        </is>
      </c>
      <c r="J92" s="32" t="inlineStr"/>
    </row>
    <row r="93">
      <c r="A93" s="27" t="inlineStr"/>
      <c r="B93" s="27" t="inlineStr"/>
      <c r="C93" s="27" t="inlineStr"/>
      <c r="D93" s="36" t="n">
        <v>2</v>
      </c>
      <c r="E93" s="27" t="inlineStr">
        <is>
          <t>Render the message</t>
        </is>
      </c>
      <c r="F93" s="27" t="inlineStr">
        <is>
          <t>-</t>
        </is>
      </c>
      <c r="G93" s="27" t="inlineStr">
        <is>
          <t>No script executes; text shown safely.</t>
        </is>
      </c>
      <c r="H93" s="27" t="inlineStr"/>
      <c r="I93" s="28" t="inlineStr">
        <is>
          <t>Not Run</t>
        </is>
      </c>
      <c r="J93" s="27" t="inlineStr"/>
    </row>
    <row r="94">
      <c r="A94" s="31" t="inlineStr">
        <is>
          <t>TC-MSG-010</t>
        </is>
      </c>
      <c r="B94" s="32" t="inlineStr">
        <is>
          <t>Messaging</t>
        </is>
      </c>
      <c r="C94" s="33" t="inlineStr">
        <is>
          <t>Mobile DM parity</t>
        </is>
      </c>
      <c r="D94" s="34" t="n">
        <v>1</v>
      </c>
      <c r="E94" s="32" t="inlineStr">
        <is>
          <t>Open Messages on mobile as teacher, driver and admin</t>
        </is>
      </c>
      <c r="F94" s="32" t="inlineStr">
        <is>
          <t>-</t>
        </is>
      </c>
      <c r="G94" s="32" t="inlineStr">
        <is>
          <t>DirectMessages screen loads for each role.</t>
        </is>
      </c>
      <c r="H94" s="32" t="inlineStr"/>
      <c r="I94" s="35" t="inlineStr">
        <is>
          <t>Not Run</t>
        </is>
      </c>
      <c r="J94" s="32" t="inlineStr"/>
    </row>
    <row r="95">
      <c r="A95" s="27" t="inlineStr"/>
      <c r="B95" s="27" t="inlineStr"/>
      <c r="C95" s="27" t="inlineStr"/>
      <c r="D95" s="36" t="n">
        <v>2</v>
      </c>
      <c r="E95" s="27" t="inlineStr">
        <is>
          <t>Send and receive</t>
        </is>
      </c>
      <c r="F95" s="27" t="inlineStr">
        <is>
          <t>message</t>
        </is>
      </c>
      <c r="G95" s="27" t="inlineStr">
        <is>
          <t>Works consistently across the three roles.</t>
        </is>
      </c>
      <c r="H95" s="27" t="inlineStr"/>
      <c r="I95" s="28" t="inlineStr">
        <is>
          <t>Not Run</t>
        </is>
      </c>
      <c r="J95" s="27" t="inlineStr"/>
    </row>
    <row r="96">
      <c r="A96" s="31" t="inlineStr">
        <is>
          <t>TC-DLG-001</t>
        </is>
      </c>
      <c r="B96" s="32" t="inlineStr">
        <is>
          <t>Download Governance</t>
        </is>
      </c>
      <c r="C96" s="33" t="inlineStr">
        <is>
          <t>Branded PDF with metadata</t>
        </is>
      </c>
      <c r="D96" s="34" t="n">
        <v>1</v>
      </c>
      <c r="E96" s="32" t="inlineStr">
        <is>
          <t>Export a report to PDF</t>
        </is>
      </c>
      <c r="F96" s="32" t="inlineStr">
        <is>
          <t>-</t>
        </is>
      </c>
      <c r="G96" s="32" t="inlineStr">
        <is>
          <t>brandedPdf produces a letterheaded document.</t>
        </is>
      </c>
      <c r="H96" s="32" t="inlineStr"/>
      <c r="I96" s="35" t="inlineStr">
        <is>
          <t>Not Run</t>
        </is>
      </c>
      <c r="J96" s="32" t="inlineStr"/>
    </row>
    <row r="97">
      <c r="A97" s="27" t="inlineStr"/>
      <c r="B97" s="27" t="inlineStr"/>
      <c r="C97" s="27" t="inlineStr"/>
      <c r="D97" s="36" t="n">
        <v>2</v>
      </c>
      <c r="E97" s="27" t="inlineStr">
        <is>
          <t>Inspect metadata &amp; footer</t>
        </is>
      </c>
      <c r="F97" s="27" t="inlineStr">
        <is>
          <t>-</t>
        </is>
      </c>
      <c r="G97" s="27" t="inlineStr">
        <is>
          <t>Title/author/generated-at present; page-numbered footer; DownloadAudit written.</t>
        </is>
      </c>
      <c r="H97" s="27" t="inlineStr"/>
      <c r="I97" s="28" t="inlineStr">
        <is>
          <t>Not Run</t>
        </is>
      </c>
      <c r="J97" s="27" t="inlineStr"/>
    </row>
    <row r="98">
      <c r="A98" s="31" t="inlineStr">
        <is>
          <t>TC-DLG-002</t>
        </is>
      </c>
      <c r="B98" s="32" t="inlineStr">
        <is>
          <t>Download Governance</t>
        </is>
      </c>
      <c r="C98" s="33" t="inlineStr">
        <is>
          <t>Excel export metadata sheet</t>
        </is>
      </c>
      <c r="D98" s="34" t="n">
        <v>1</v>
      </c>
      <c r="E98" s="32" t="inlineStr">
        <is>
          <t>Export to Excel</t>
        </is>
      </c>
      <c r="F98" s="32" t="inlineStr">
        <is>
          <t>-</t>
        </is>
      </c>
      <c r="G98" s="32" t="inlineStr">
        <is>
          <t>xlsMetaSheet adds a metadata worksheet with source/user/timestamp.</t>
        </is>
      </c>
      <c r="H98" s="32" t="inlineStr"/>
      <c r="I98" s="35" t="inlineStr">
        <is>
          <t>Not Run</t>
        </is>
      </c>
      <c r="J98" s="32" t="inlineStr"/>
    </row>
    <row r="99">
      <c r="A99" s="27" t="inlineStr"/>
      <c r="B99" s="27" t="inlineStr"/>
      <c r="C99" s="27" t="inlineStr"/>
      <c r="D99" s="36" t="n">
        <v>2</v>
      </c>
      <c r="E99" s="27" t="inlineStr">
        <is>
          <t>Review the data sheet</t>
        </is>
      </c>
      <c r="F99" s="27" t="inlineStr">
        <is>
          <t>-</t>
        </is>
      </c>
      <c r="G99" s="27" t="inlineStr">
        <is>
          <t>Content matches the on-screen data.</t>
        </is>
      </c>
      <c r="H99" s="27" t="inlineStr"/>
      <c r="I99" s="28" t="inlineStr">
        <is>
          <t>Not Run</t>
        </is>
      </c>
      <c r="J99" s="27" t="inlineStr"/>
    </row>
    <row r="100">
      <c r="A100" s="31" t="inlineStr">
        <is>
          <t>TC-DLG-003</t>
        </is>
      </c>
      <c r="B100" s="32" t="inlineStr">
        <is>
          <t>Download Governance</t>
        </is>
      </c>
      <c r="C100" s="33" t="inlineStr">
        <is>
          <t>CSV metadata stamp</t>
        </is>
      </c>
      <c r="D100" s="34" t="n">
        <v>1</v>
      </c>
      <c r="E100" s="32" t="inlineStr">
        <is>
          <t>Export/download a CSV</t>
        </is>
      </c>
      <c r="F100" s="32" t="inlineStr">
        <is>
          <t>-</t>
        </is>
      </c>
      <c r="G100" s="32" t="inlineStr">
        <is>
          <t>stampCsv/csvWithMetadata prepends metadata; recordClientDownload fires.</t>
        </is>
      </c>
      <c r="H100" s="32" t="inlineStr"/>
      <c r="I100" s="35" t="inlineStr">
        <is>
          <t>Not Run</t>
        </is>
      </c>
      <c r="J100" s="32" t="inlineStr"/>
    </row>
    <row r="101">
      <c r="A101" s="31" t="inlineStr">
        <is>
          <t>TC-DLG-004</t>
        </is>
      </c>
      <c r="B101" s="32" t="inlineStr">
        <is>
          <t>Download Governance</t>
        </is>
      </c>
      <c r="C101" s="33" t="inlineStr">
        <is>
          <t>Download audit trail</t>
        </is>
      </c>
      <c r="D101" s="34" t="n">
        <v>1</v>
      </c>
      <c r="E101" s="32" t="inlineStr">
        <is>
          <t>Perform several exports</t>
        </is>
      </c>
      <c r="F101" s="32" t="inlineStr">
        <is>
          <t>-</t>
        </is>
      </c>
      <c r="G101" s="32" t="inlineStr">
        <is>
          <t>Each writes a DownloadAudit / /api/downloads/record entry.</t>
        </is>
      </c>
      <c r="H101" s="32" t="inlineStr"/>
      <c r="I101" s="35" t="inlineStr">
        <is>
          <t>Not Run</t>
        </is>
      </c>
      <c r="J101" s="32" t="inlineStr"/>
    </row>
    <row r="102">
      <c r="A102" s="27" t="inlineStr"/>
      <c r="B102" s="27" t="inlineStr"/>
      <c r="C102" s="27" t="inlineStr"/>
      <c r="D102" s="36" t="n">
        <v>2</v>
      </c>
      <c r="E102" s="27" t="inlineStr">
        <is>
          <t>Review the audit</t>
        </is>
      </c>
      <c r="F102" s="27" t="inlineStr">
        <is>
          <t>-</t>
        </is>
      </c>
      <c r="G102" s="27" t="inlineStr">
        <is>
          <t>User, artifact, type and time are recorded.</t>
        </is>
      </c>
      <c r="H102" s="27" t="inlineStr"/>
      <c r="I102" s="28" t="inlineStr">
        <is>
          <t>Not Run</t>
        </is>
      </c>
      <c r="J102" s="27" t="inlineStr"/>
    </row>
    <row r="103">
      <c r="A103" s="31" t="inlineStr">
        <is>
          <t>TC-DLG-005</t>
        </is>
      </c>
      <c r="B103" s="32" t="inlineStr">
        <is>
          <t>Download Governance</t>
        </is>
      </c>
      <c r="C103" s="33" t="inlineStr">
        <is>
          <t>Deep-route export governance</t>
        </is>
      </c>
      <c r="D103" s="34" t="n">
        <v>1</v>
      </c>
      <c r="E103" s="32" t="inlineStr">
        <is>
          <t>Export from a deep-nested route (e.g. reports export)</t>
        </is>
      </c>
      <c r="F103" s="32" t="inlineStr">
        <is>
          <t>-</t>
        </is>
      </c>
      <c r="G103" s="32" t="inlineStr">
        <is>
          <t>Metadata/branding/audit applied consistent with other exports.</t>
        </is>
      </c>
      <c r="H103" s="32" t="inlineStr"/>
      <c r="I103" s="35" t="inlineStr">
        <is>
          <t>Not Run</t>
        </is>
      </c>
      <c r="J103" s="32" t="inlineStr"/>
    </row>
    <row r="104">
      <c r="A104" s="31" t="inlineStr">
        <is>
          <t>TC-SCH-001</t>
        </is>
      </c>
      <c r="B104" s="32" t="inlineStr">
        <is>
          <t>School-Admin Portal</t>
        </is>
      </c>
      <c r="C104" s="33" t="inlineStr">
        <is>
          <t>School-admin dashboard loads</t>
        </is>
      </c>
      <c r="D104" s="34" t="n">
        <v>1</v>
      </c>
      <c r="E104" s="32" t="inlineStr">
        <is>
          <t>Open the School-Admin dashboard</t>
        </is>
      </c>
      <c r="F104" s="32" t="inlineStr">
        <is>
          <t>-</t>
        </is>
      </c>
      <c r="G104" s="32" t="inlineStr">
        <is>
          <t>KPIs, alerts and quick actions render.</t>
        </is>
      </c>
      <c r="H104" s="32" t="inlineStr"/>
      <c r="I104" s="35" t="inlineStr">
        <is>
          <t>Not Run</t>
        </is>
      </c>
      <c r="J104" s="32" t="inlineStr"/>
    </row>
    <row r="105">
      <c r="A105" s="31" t="inlineStr">
        <is>
          <t>TC-SCH-002</t>
        </is>
      </c>
      <c r="B105" s="32" t="inlineStr">
        <is>
          <t>School-Admin Portal</t>
        </is>
      </c>
      <c r="C105" s="33" t="inlineStr">
        <is>
          <t>Admin has all Transport-Manager sections</t>
        </is>
      </c>
      <c r="D105" s="34" t="n">
        <v>1</v>
      </c>
      <c r="E105" s="32" t="inlineStr">
        <is>
          <t>Open the School-Admin Transport area</t>
        </is>
      </c>
      <c r="F105" s="32" t="inlineStr">
        <is>
          <t>-</t>
        </is>
      </c>
      <c r="G105" s="32" t="inlineStr">
        <is>
          <t>Tabs include dashboard, control, travel logs, incidents, messages, routes, vehicles, drivers, driver logs, profiles, fees, requests, enquiries.</t>
        </is>
      </c>
      <c r="H105" s="32" t="inlineStr"/>
      <c r="I105" s="35" t="inlineStr">
        <is>
          <t>Not Run</t>
        </is>
      </c>
      <c r="J105" s="32" t="inlineStr"/>
    </row>
    <row r="106">
      <c r="A106" s="27" t="inlineStr"/>
      <c r="B106" s="27" t="inlineStr"/>
      <c r="C106" s="27" t="inlineStr"/>
      <c r="D106" s="36" t="n">
        <v>2</v>
      </c>
      <c r="E106" s="27" t="inlineStr">
        <is>
          <t>Open each tab</t>
        </is>
      </c>
      <c r="F106" s="27" t="inlineStr">
        <is>
          <t>-</t>
        </is>
      </c>
      <c r="G106" s="27" t="inlineStr">
        <is>
          <t>Each renders the corresponding TM view without error.</t>
        </is>
      </c>
      <c r="H106" s="27" t="inlineStr"/>
      <c r="I106" s="28" t="inlineStr">
        <is>
          <t>Not Run</t>
        </is>
      </c>
      <c r="J106" s="27" t="inlineStr"/>
    </row>
    <row r="107">
      <c r="A107" s="31" t="inlineStr">
        <is>
          <t>TC-SCH-003</t>
        </is>
      </c>
      <c r="B107" s="32" t="inlineStr">
        <is>
          <t>School-Admin Portal</t>
        </is>
      </c>
      <c r="C107" s="33" t="inlineStr">
        <is>
          <t>Invite a member with a role</t>
        </is>
      </c>
      <c r="D107" s="34" t="n">
        <v>1</v>
      </c>
      <c r="E107" s="32" t="inlineStr">
        <is>
          <t>Create an invitation and assign a role</t>
        </is>
      </c>
      <c r="F107" s="32" t="inlineStr">
        <is>
          <t>invitee + role</t>
        </is>
      </c>
      <c r="G107" s="32" t="inlineStr">
        <is>
          <t>Invitation created.</t>
        </is>
      </c>
      <c r="H107" s="32" t="inlineStr"/>
      <c r="I107" s="35" t="inlineStr">
        <is>
          <t>Not Run</t>
        </is>
      </c>
      <c r="J107" s="32" t="inlineStr"/>
    </row>
    <row r="108">
      <c r="A108" s="27" t="inlineStr"/>
      <c r="B108" s="27" t="inlineStr"/>
      <c r="C108" s="27" t="inlineStr"/>
      <c r="D108" s="36" t="n">
        <v>2</v>
      </c>
      <c r="E108" s="27" t="inlineStr">
        <is>
          <t>Invitee accepts</t>
        </is>
      </c>
      <c r="F108" s="27" t="inlineStr">
        <is>
          <t>-</t>
        </is>
      </c>
      <c r="G108" s="27" t="inlineStr">
        <is>
          <t>Membership created with the assigned role.</t>
        </is>
      </c>
      <c r="H108" s="27" t="inlineStr"/>
      <c r="I108" s="28" t="inlineStr">
        <is>
          <t>Not Run</t>
        </is>
      </c>
      <c r="J108" s="27" t="inlineStr"/>
    </row>
    <row r="109">
      <c r="A109" s="31" t="inlineStr">
        <is>
          <t>TC-SCH-004</t>
        </is>
      </c>
      <c r="B109" s="32" t="inlineStr">
        <is>
          <t>School-Admin Portal</t>
        </is>
      </c>
      <c r="C109" s="33" t="inlineStr">
        <is>
          <t>Create an announcement</t>
        </is>
      </c>
      <c r="D109" s="34" t="n">
        <v>1</v>
      </c>
      <c r="E109" s="32" t="inlineStr">
        <is>
          <t>Create an announcement with audience &amp; schedule</t>
        </is>
      </c>
      <c r="F109" s="32" t="inlineStr">
        <is>
          <t>announcement</t>
        </is>
      </c>
      <c r="G109" s="32" t="inlineStr">
        <is>
          <t>Saved.</t>
        </is>
      </c>
      <c r="H109" s="32" t="inlineStr"/>
      <c r="I109" s="35" t="inlineStr">
        <is>
          <t>Not Run</t>
        </is>
      </c>
      <c r="J109" s="32" t="inlineStr"/>
    </row>
    <row r="110">
      <c r="A110" s="27" t="inlineStr"/>
      <c r="B110" s="27" t="inlineStr"/>
      <c r="C110" s="27" t="inlineStr"/>
      <c r="D110" s="36" t="n">
        <v>2</v>
      </c>
      <c r="E110" s="27" t="inlineStr">
        <is>
          <t>Publish</t>
        </is>
      </c>
      <c r="F110" s="27" t="inlineStr">
        <is>
          <t>-</t>
        </is>
      </c>
      <c r="G110" s="27" t="inlineStr">
        <is>
          <t>Recipients see it; PII policy respected.</t>
        </is>
      </c>
      <c r="H110" s="27" t="inlineStr"/>
      <c r="I110" s="28" t="inlineStr">
        <is>
          <t>Not Run</t>
        </is>
      </c>
      <c r="J110" s="27" t="inlineStr"/>
    </row>
    <row r="111">
      <c r="A111" s="31" t="inlineStr">
        <is>
          <t>TC-SCH-005</t>
        </is>
      </c>
      <c r="B111" s="32" t="inlineStr">
        <is>
          <t>School-Admin Portal</t>
        </is>
      </c>
      <c r="C111" s="33" t="inlineStr">
        <is>
          <t>Manage events</t>
        </is>
      </c>
      <c r="D111" s="34" t="n">
        <v>1</v>
      </c>
      <c r="E111" s="32" t="inlineStr">
        <is>
          <t>Create a calendar event</t>
        </is>
      </c>
      <c r="F111" s="32" t="inlineStr">
        <is>
          <t>event</t>
        </is>
      </c>
      <c r="G111" s="32" t="inlineStr">
        <is>
          <t>Saved and published.</t>
        </is>
      </c>
      <c r="H111" s="32" t="inlineStr"/>
      <c r="I111" s="35" t="inlineStr">
        <is>
          <t>Not Run</t>
        </is>
      </c>
      <c r="J111" s="32" t="inlineStr"/>
    </row>
    <row r="112">
      <c r="A112" s="27" t="inlineStr"/>
      <c r="B112" s="27" t="inlineStr"/>
      <c r="C112" s="27" t="inlineStr"/>
      <c r="D112" s="36" t="n">
        <v>2</v>
      </c>
      <c r="E112" s="27" t="inlineStr">
        <is>
          <t>View as a parent</t>
        </is>
      </c>
      <c r="F112" s="27" t="inlineStr">
        <is>
          <t>-</t>
        </is>
      </c>
      <c r="G112" s="27" t="inlineStr">
        <is>
          <t>Event visible once published.</t>
        </is>
      </c>
      <c r="H112" s="27" t="inlineStr"/>
      <c r="I112" s="28" t="inlineStr">
        <is>
          <t>Not Run</t>
        </is>
      </c>
      <c r="J112" s="27" t="inlineStr"/>
    </row>
    <row r="113">
      <c r="A113" s="31" t="inlineStr">
        <is>
          <t>TC-TCH-001</t>
        </is>
      </c>
      <c r="B113" s="32" t="inlineStr">
        <is>
          <t>Teacher Portal</t>
        </is>
      </c>
      <c r="C113" s="33" t="inlineStr">
        <is>
          <t>Teacher dashboard</t>
        </is>
      </c>
      <c r="D113" s="34" t="n">
        <v>1</v>
      </c>
      <c r="E113" s="32" t="inlineStr">
        <is>
          <t>Open the teacher home</t>
        </is>
      </c>
      <c r="F113" s="32" t="inlineStr">
        <is>
          <t>-</t>
        </is>
      </c>
      <c r="G113" s="32" t="inlineStr">
        <is>
          <t>Class/attendance widgets render.</t>
        </is>
      </c>
      <c r="H113" s="32" t="inlineStr"/>
      <c r="I113" s="35" t="inlineStr">
        <is>
          <t>Not Run</t>
        </is>
      </c>
      <c r="J113" s="32" t="inlineStr"/>
    </row>
    <row r="114">
      <c r="A114" s="31" t="inlineStr">
        <is>
          <t>TC-TCH-002</t>
        </is>
      </c>
      <c r="B114" s="32" t="inlineStr">
        <is>
          <t>Teacher Portal</t>
        </is>
      </c>
      <c r="C114" s="33" t="inlineStr">
        <is>
          <t>Manage a trip</t>
        </is>
      </c>
      <c r="D114" s="34" t="n">
        <v>1</v>
      </c>
      <c r="E114" s="32" t="inlineStr">
        <is>
          <t>Open a trip</t>
        </is>
      </c>
      <c r="F114" s="32" t="inlineStr">
        <is>
          <t>-</t>
        </is>
      </c>
      <c r="G114" s="32" t="inlineStr">
        <is>
          <t>Consent counts shown.</t>
        </is>
      </c>
      <c r="H114" s="32" t="inlineStr"/>
      <c r="I114" s="35" t="inlineStr">
        <is>
          <t>Not Run</t>
        </is>
      </c>
      <c r="J114" s="32" t="inlineStr"/>
    </row>
    <row r="115">
      <c r="A115" s="27" t="inlineStr"/>
      <c r="B115" s="27" t="inlineStr"/>
      <c r="C115" s="27" t="inlineStr"/>
      <c r="D115" s="36" t="n">
        <v>2</v>
      </c>
      <c r="E115" s="27" t="inlineStr">
        <is>
          <t>Send a consent chase</t>
        </is>
      </c>
      <c r="F115" s="27" t="inlineStr">
        <is>
          <t>-</t>
        </is>
      </c>
      <c r="G115" s="27" t="inlineStr">
        <is>
          <t>Outstanding families notified.</t>
        </is>
      </c>
      <c r="H115" s="27" t="inlineStr"/>
      <c r="I115" s="28" t="inlineStr">
        <is>
          <t>Not Run</t>
        </is>
      </c>
      <c r="J115" s="27" t="inlineStr"/>
    </row>
    <row r="116">
      <c r="A116" s="31" t="inlineStr">
        <is>
          <t>TC-TCH-003</t>
        </is>
      </c>
      <c r="B116" s="32" t="inlineStr">
        <is>
          <t>Teacher Portal</t>
        </is>
      </c>
      <c r="C116" s="33" t="inlineStr">
        <is>
          <t>Create a pupil report</t>
        </is>
      </c>
      <c r="D116" s="34" t="n">
        <v>1</v>
      </c>
      <c r="E116" s="32" t="inlineStr">
        <is>
          <t>Draft a pupil report</t>
        </is>
      </c>
      <c r="F116" s="32" t="inlineStr">
        <is>
          <t>report content</t>
        </is>
      </c>
      <c r="G116" s="32" t="inlineStr">
        <is>
          <t>Saved as draft.</t>
        </is>
      </c>
      <c r="H116" s="32" t="inlineStr"/>
      <c r="I116" s="35" t="inlineStr">
        <is>
          <t>Not Run</t>
        </is>
      </c>
      <c r="J116" s="32" t="inlineStr"/>
    </row>
    <row r="117">
      <c r="A117" s="27" t="inlineStr"/>
      <c r="B117" s="27" t="inlineStr"/>
      <c r="C117" s="27" t="inlineStr"/>
      <c r="D117" s="36" t="n">
        <v>2</v>
      </c>
      <c r="E117" s="27" t="inlineStr">
        <is>
          <t>Finalise</t>
        </is>
      </c>
      <c r="F117" s="27" t="inlineStr">
        <is>
          <t>-</t>
        </is>
      </c>
      <c r="G117" s="27" t="inlineStr">
        <is>
          <t>Report locked and available downstream.</t>
        </is>
      </c>
      <c r="H117" s="27" t="inlineStr"/>
      <c r="I117" s="28" t="inlineStr">
        <is>
          <t>Not Run</t>
        </is>
      </c>
      <c r="J117" s="27" t="inlineStr"/>
    </row>
    <row r="118">
      <c r="A118" s="31" t="inlineStr">
        <is>
          <t>TC-TCH-004</t>
        </is>
      </c>
      <c r="B118" s="32" t="inlineStr">
        <is>
          <t>Teacher Portal</t>
        </is>
      </c>
      <c r="C118" s="33" t="inlineStr">
        <is>
          <t>Award merit / behaviour point</t>
        </is>
      </c>
      <c r="D118" s="34" t="n">
        <v>1</v>
      </c>
      <c r="E118" s="32" t="inlineStr">
        <is>
          <t>Award a merit to a pupil</t>
        </is>
      </c>
      <c r="F118" s="32" t="inlineStr">
        <is>
          <t>merit</t>
        </is>
      </c>
      <c r="G118" s="32" t="inlineStr">
        <is>
          <t>Recorded (behaviour ingestion).</t>
        </is>
      </c>
      <c r="H118" s="32" t="inlineStr"/>
      <c r="I118" s="35" t="inlineStr">
        <is>
          <t>Not Run</t>
        </is>
      </c>
      <c r="J118" s="32" t="inlineStr"/>
    </row>
    <row r="119">
      <c r="A119" s="27" t="inlineStr"/>
      <c r="B119" s="27" t="inlineStr"/>
      <c r="C119" s="27" t="inlineStr"/>
      <c r="D119" s="36" t="n">
        <v>2</v>
      </c>
      <c r="E119" s="27" t="inlineStr">
        <is>
          <t>Check parent view</t>
        </is>
      </c>
      <c r="F119" s="27" t="inlineStr">
        <is>
          <t>-</t>
        </is>
      </c>
      <c r="G119" s="27" t="inlineStr">
        <is>
          <t>Merit reflected in the pupil's record.</t>
        </is>
      </c>
      <c r="H119" s="27" t="inlineStr"/>
      <c r="I119" s="28" t="inlineStr">
        <is>
          <t>Not Run</t>
        </is>
      </c>
      <c r="J119" s="27" t="inlineStr"/>
    </row>
    <row r="120">
      <c r="A120" s="31" t="inlineStr">
        <is>
          <t>TC-PAR-001</t>
        </is>
      </c>
      <c r="B120" s="32" t="inlineStr">
        <is>
          <t>Parent Portal</t>
        </is>
      </c>
      <c r="C120" s="33" t="inlineStr">
        <is>
          <t>Parent dashboard &amp; children</t>
        </is>
      </c>
      <c r="D120" s="34" t="n">
        <v>1</v>
      </c>
      <c r="E120" s="32" t="inlineStr">
        <is>
          <t>Open the parent home</t>
        </is>
      </c>
      <c r="F120" s="32" t="inlineStr">
        <is>
          <t>-</t>
        </is>
      </c>
      <c r="G120" s="32" t="inlineStr">
        <is>
          <t>Each linked child shown with key info.</t>
        </is>
      </c>
      <c r="H120" s="32" t="inlineStr"/>
      <c r="I120" s="35" t="inlineStr">
        <is>
          <t>Not Run</t>
        </is>
      </c>
      <c r="J120" s="32" t="inlineStr"/>
    </row>
    <row r="121">
      <c r="A121" s="31" t="inlineStr">
        <is>
          <t>TC-PAR-002</t>
        </is>
      </c>
      <c r="B121" s="32" t="inlineStr">
        <is>
          <t>Parent Portal</t>
        </is>
      </c>
      <c r="C121" s="33" t="inlineStr">
        <is>
          <t>Consent to a trip</t>
        </is>
      </c>
      <c r="D121" s="34" t="n">
        <v>1</v>
      </c>
      <c r="E121" s="32" t="inlineStr">
        <is>
          <t>Open the trip consent</t>
        </is>
      </c>
      <c r="F121" s="32" t="inlineStr">
        <is>
          <t>-</t>
        </is>
      </c>
      <c r="G121" s="32" t="inlineStr">
        <is>
          <t>Details shown.</t>
        </is>
      </c>
      <c r="H121" s="32" t="inlineStr"/>
      <c r="I121" s="35" t="inlineStr">
        <is>
          <t>Not Run</t>
        </is>
      </c>
      <c r="J121" s="32" t="inlineStr"/>
    </row>
    <row r="122">
      <c r="A122" s="27" t="inlineStr"/>
      <c r="B122" s="27" t="inlineStr"/>
      <c r="C122" s="27" t="inlineStr"/>
      <c r="D122" s="36" t="n">
        <v>2</v>
      </c>
      <c r="E122" s="27" t="inlineStr">
        <is>
          <t>Give consent</t>
        </is>
      </c>
      <c r="F122" s="27" t="inlineStr">
        <is>
          <t>consent</t>
        </is>
      </c>
      <c r="G122" s="27" t="inlineStr">
        <is>
          <t>Recorded; teacher count updates.</t>
        </is>
      </c>
      <c r="H122" s="27" t="inlineStr"/>
      <c r="I122" s="28" t="inlineStr">
        <is>
          <t>Not Run</t>
        </is>
      </c>
      <c r="J122" s="27" t="inlineStr"/>
    </row>
    <row r="123">
      <c r="A123" s="31" t="inlineStr">
        <is>
          <t>TC-PAR-003</t>
        </is>
      </c>
      <c r="B123" s="32" t="inlineStr">
        <is>
          <t>Parent Portal</t>
        </is>
      </c>
      <c r="C123" s="33" t="inlineStr">
        <is>
          <t>Live transport tracking</t>
        </is>
      </c>
      <c r="D123" s="34" t="n">
        <v>1</v>
      </c>
      <c r="E123" s="32" t="inlineStr">
        <is>
          <t>Open transport while a journey runs</t>
        </is>
      </c>
      <c r="F123" s="32" t="inlineStr">
        <is>
          <t>-</t>
        </is>
      </c>
      <c r="G123" s="32" t="inlineStr">
        <is>
          <t>Live status/ETA shown.</t>
        </is>
      </c>
      <c r="H123" s="32" t="inlineStr"/>
      <c r="I123" s="35" t="inlineStr">
        <is>
          <t>Not Run</t>
        </is>
      </c>
      <c r="J123" s="32" t="inlineStr"/>
    </row>
    <row r="124">
      <c r="A124" s="27" t="inlineStr"/>
      <c r="B124" s="27" t="inlineStr"/>
      <c r="C124" s="27" t="inlineStr"/>
      <c r="D124" s="36" t="n">
        <v>2</v>
      </c>
      <c r="E124" s="27" t="inlineStr">
        <is>
          <t>Open transport when no journey runs</t>
        </is>
      </c>
      <c r="F124" s="27" t="inlineStr">
        <is>
          <t>-</t>
        </is>
      </c>
      <c r="G124" s="27" t="inlineStr">
        <is>
          <t>No live location (safeguarding).</t>
        </is>
      </c>
      <c r="H124" s="27" t="inlineStr"/>
      <c r="I124" s="28" t="inlineStr">
        <is>
          <t>Not Run</t>
        </is>
      </c>
      <c r="J124" s="27" t="inlineStr"/>
    </row>
    <row r="125">
      <c r="A125" s="31" t="inlineStr">
        <is>
          <t>TC-PAR-004</t>
        </is>
      </c>
      <c r="B125" s="32" t="inlineStr">
        <is>
          <t>Parent Portal</t>
        </is>
      </c>
      <c r="C125" s="33" t="inlineStr">
        <is>
          <t>AI assistant scoped to own children</t>
        </is>
      </c>
      <c r="D125" s="34" t="n">
        <v>1</v>
      </c>
      <c r="E125" s="32" t="inlineStr">
        <is>
          <t>Ask about your own child</t>
        </is>
      </c>
      <c r="F125" s="32" t="inlineStr">
        <is>
          <t>query</t>
        </is>
      </c>
      <c r="G125" s="32" t="inlineStr">
        <is>
          <t>Relevant answer returned.</t>
        </is>
      </c>
      <c r="H125" s="32" t="inlineStr"/>
      <c r="I125" s="35" t="inlineStr">
        <is>
          <t>Not Run</t>
        </is>
      </c>
      <c r="J125" s="32" t="inlineStr"/>
    </row>
    <row r="126">
      <c r="A126" s="27" t="inlineStr"/>
      <c r="B126" s="27" t="inlineStr"/>
      <c r="C126" s="27" t="inlineStr"/>
      <c r="D126" s="36" t="n">
        <v>2</v>
      </c>
      <c r="E126" s="27" t="inlineStr">
        <is>
          <t>Ask about another family's child</t>
        </is>
      </c>
      <c r="F126" s="27" t="inlineStr">
        <is>
          <t>other child</t>
        </is>
      </c>
      <c r="G126" s="27" t="inlineStr">
        <is>
          <t>Declined / no data (scope enforced).</t>
        </is>
      </c>
      <c r="H126" s="27" t="inlineStr"/>
      <c r="I126" s="28" t="inlineStr">
        <is>
          <t>Not Run</t>
        </is>
      </c>
      <c r="J126" s="27" t="inlineStr"/>
    </row>
    <row r="127">
      <c r="A127" s="31" t="inlineStr">
        <is>
          <t>TC-PAR-005</t>
        </is>
      </c>
      <c r="B127" s="32" t="inlineStr">
        <is>
          <t>Parent Portal</t>
        </is>
      </c>
      <c r="C127" s="33" t="inlineStr">
        <is>
          <t>Notification preferences persist</t>
        </is>
      </c>
      <c r="D127" s="34" t="n">
        <v>1</v>
      </c>
      <c r="E127" s="32" t="inlineStr">
        <is>
          <t>Toggle a channel/category preference</t>
        </is>
      </c>
      <c r="F127" s="32" t="inlineStr">
        <is>
          <t>preference</t>
        </is>
      </c>
      <c r="G127" s="32" t="inlineStr">
        <is>
          <t>Saved.</t>
        </is>
      </c>
      <c r="H127" s="32" t="inlineStr"/>
      <c r="I127" s="35" t="inlineStr">
        <is>
          <t>Not Run</t>
        </is>
      </c>
      <c r="J127" s="32" t="inlineStr"/>
    </row>
    <row r="128">
      <c r="A128" s="27" t="inlineStr"/>
      <c r="B128" s="27" t="inlineStr"/>
      <c r="C128" s="27" t="inlineStr"/>
      <c r="D128" s="36" t="n">
        <v>2</v>
      </c>
      <c r="E128" s="27" t="inlineStr">
        <is>
          <t>Reopen preferences</t>
        </is>
      </c>
      <c r="F128" s="27" t="inlineStr">
        <is>
          <t>-</t>
        </is>
      </c>
      <c r="G128" s="27" t="inlineStr">
        <is>
          <t>Change persisted.</t>
        </is>
      </c>
      <c r="H128" s="27" t="inlineStr"/>
      <c r="I128" s="28" t="inlineStr">
        <is>
          <t>Not Run</t>
        </is>
      </c>
      <c r="J128" s="27" t="inlineStr"/>
    </row>
    <row r="129">
      <c r="A129" s="31" t="inlineStr">
        <is>
          <t>TC-DRV-001</t>
        </is>
      </c>
      <c r="B129" s="32" t="inlineStr">
        <is>
          <t>Driver Portal (Web)</t>
        </is>
      </c>
      <c r="C129" s="33" t="inlineStr">
        <is>
          <t>Driver web journeys / start-stop</t>
        </is>
      </c>
      <c r="D129" s="34" t="n">
        <v>1</v>
      </c>
      <c r="E129" s="32" t="inlineStr">
        <is>
          <t>Open the driver web dashboard</t>
        </is>
      </c>
      <c r="F129" s="32" t="inlineStr">
        <is>
          <t>-</t>
        </is>
      </c>
      <c r="G129" s="32" t="inlineStr">
        <is>
          <t>Today's journeys listed.</t>
        </is>
      </c>
      <c r="H129" s="32" t="inlineStr"/>
      <c r="I129" s="35" t="inlineStr">
        <is>
          <t>Not Run</t>
        </is>
      </c>
      <c r="J129" s="32" t="inlineStr"/>
    </row>
    <row r="130">
      <c r="A130" s="27" t="inlineStr"/>
      <c r="B130" s="27" t="inlineStr"/>
      <c r="C130" s="27" t="inlineStr"/>
      <c r="D130" s="36" t="n">
        <v>2</v>
      </c>
      <c r="E130" s="27" t="inlineStr">
        <is>
          <t>Start then end a journey</t>
        </is>
      </c>
      <c r="F130" s="27" t="inlineStr">
        <is>
          <t>-</t>
        </is>
      </c>
      <c r="G130" s="27" t="inlineStr">
        <is>
          <t>Office and affected parents notified; status transitions.</t>
        </is>
      </c>
      <c r="H130" s="27" t="inlineStr"/>
      <c r="I130" s="28" t="inlineStr">
        <is>
          <t>Not Run</t>
        </is>
      </c>
      <c r="J130" s="27" t="inlineStr"/>
    </row>
    <row r="131">
      <c r="A131" s="31" t="inlineStr">
        <is>
          <t>TC-DRV-002</t>
        </is>
      </c>
      <c r="B131" s="32" t="inlineStr">
        <is>
          <t>Driver Portal (Web)</t>
        </is>
      </c>
      <c r="C131" s="33" t="inlineStr">
        <is>
          <t>Raise an incident (web)</t>
        </is>
      </c>
      <c r="D131" s="34" t="n">
        <v>1</v>
      </c>
      <c r="E131" s="32" t="inlineStr">
        <is>
          <t>Open Incident log and choose a type &amp; severity</t>
        </is>
      </c>
      <c r="F131" s="32" t="inlineStr">
        <is>
          <t>type, severity</t>
        </is>
      </c>
      <c r="G131" s="32" t="inlineStr">
        <is>
          <t>Form ready.</t>
        </is>
      </c>
      <c r="H131" s="32" t="inlineStr"/>
      <c r="I131" s="35" t="inlineStr">
        <is>
          <t>Not Run</t>
        </is>
      </c>
      <c r="J131" s="32" t="inlineStr"/>
    </row>
    <row r="132">
      <c r="A132" s="27" t="inlineStr"/>
      <c r="B132" s="27" t="inlineStr"/>
      <c r="C132" s="27" t="inlineStr"/>
      <c r="D132" s="36" t="n">
        <v>2</v>
      </c>
      <c r="E132" s="27" t="inlineStr">
        <is>
          <t>Submit with notes</t>
        </is>
      </c>
      <c r="F132" s="27" t="inlineStr">
        <is>
          <t>notes</t>
        </is>
      </c>
      <c r="G132" s="27" t="inlineStr">
        <is>
          <t>POST /api/driver/incident stores it (schoolId from membership); office notified.</t>
        </is>
      </c>
      <c r="H132" s="27" t="inlineStr"/>
      <c r="I132" s="28" t="inlineStr">
        <is>
          <t>Not Run</t>
        </is>
      </c>
      <c r="J132" s="27" t="inlineStr"/>
    </row>
    <row r="133">
      <c r="A133" s="27" t="inlineStr"/>
      <c r="B133" s="27" t="inlineStr"/>
      <c r="C133" s="27" t="inlineStr"/>
      <c r="D133" s="36" t="n">
        <v>3</v>
      </c>
      <c r="E133" s="27" t="inlineStr">
        <is>
          <t>View 'My reported incidents'</t>
        </is>
      </c>
      <c r="F133" s="27" t="inlineStr">
        <is>
          <t>-</t>
        </is>
      </c>
      <c r="G133" s="27" t="inlineStr">
        <is>
          <t>The new incident is listed.</t>
        </is>
      </c>
      <c r="H133" s="27" t="inlineStr"/>
      <c r="I133" s="28" t="inlineStr">
        <is>
          <t>Not Run</t>
        </is>
      </c>
      <c r="J133" s="27" t="inlineStr"/>
    </row>
    <row r="134">
      <c r="A134" s="31" t="inlineStr">
        <is>
          <t>TC-DRV-003</t>
        </is>
      </c>
      <c r="B134" s="32" t="inlineStr">
        <is>
          <t>Driver Portal (Web)</t>
        </is>
      </c>
      <c r="C134" s="33" t="inlineStr">
        <is>
          <t>Vehicle / fleet log</t>
        </is>
      </c>
      <c r="D134" s="34" t="n">
        <v>1</v>
      </c>
      <c r="E134" s="32" t="inlineStr">
        <is>
          <t>Open the Fleet section</t>
        </is>
      </c>
      <c r="F134" s="32" t="inlineStr">
        <is>
          <t>-</t>
        </is>
      </c>
      <c r="G134" s="32" t="inlineStr">
        <is>
          <t>Vehicles listed with derived status (available/due soon/attention/out of service).</t>
        </is>
      </c>
      <c r="H134" s="32" t="inlineStr"/>
      <c r="I134" s="35" t="inlineStr">
        <is>
          <t>Not Run</t>
        </is>
      </c>
      <c r="J134" s="32" t="inlineStr"/>
    </row>
    <row r="135">
      <c r="A135" s="27" t="inlineStr"/>
      <c r="B135" s="27" t="inlineStr"/>
      <c r="C135" s="27" t="inlineStr"/>
      <c r="D135" s="36" t="n">
        <v>2</v>
      </c>
      <c r="E135" s="27" t="inlineStr">
        <is>
          <t>Review compliance flags</t>
        </is>
      </c>
      <c r="F135" s="27" t="inlineStr">
        <is>
          <t>-</t>
        </is>
      </c>
      <c r="G135" s="27" t="inlineStr">
        <is>
          <t>MOT/insurance/service/tax show ok/due/overdue correctly.</t>
        </is>
      </c>
      <c r="H135" s="27" t="inlineStr"/>
      <c r="I135" s="28" t="inlineStr">
        <is>
          <t>Not Run</t>
        </is>
      </c>
      <c r="J135" s="27" t="inlineStr"/>
    </row>
    <row r="136">
      <c r="A136" s="31" t="inlineStr">
        <is>
          <t>TC-DRV-004</t>
        </is>
      </c>
      <c r="B136" s="32" t="inlineStr">
        <is>
          <t>Driver Portal (Web)</t>
        </is>
      </c>
      <c r="C136" s="33" t="inlineStr">
        <is>
          <t>Travel log renders with null session</t>
        </is>
      </c>
      <c r="D136" s="34" t="n">
        <v>1</v>
      </c>
      <c r="E136" s="32" t="inlineStr">
        <is>
          <t>Open the Travel log with a null-session record</t>
        </is>
      </c>
      <c r="F136" s="32" t="inlineStr">
        <is>
          <t>null session</t>
        </is>
      </c>
      <c r="G136" s="32" t="inlineStr">
        <is>
          <t>Page renders.</t>
        </is>
      </c>
      <c r="H136" s="32" t="inlineStr"/>
      <c r="I136" s="35" t="inlineStr">
        <is>
          <t>Not Run</t>
        </is>
      </c>
      <c r="J136" s="32" t="inlineStr"/>
    </row>
    <row r="137">
      <c r="A137" s="27" t="inlineStr"/>
      <c r="B137" s="27" t="inlineStr"/>
      <c r="C137" s="27" t="inlineStr"/>
      <c r="D137" s="36" t="n">
        <v>2</v>
      </c>
      <c r="E137" s="27" t="inlineStr">
        <is>
          <t>Inspect the session cell</t>
        </is>
      </c>
      <c r="F137" s="27" t="inlineStr">
        <is>
          <t>-</t>
        </is>
      </c>
      <c r="G137" s="27" t="inlineStr">
        <is>
          <t>Shows '—' instead of throwing (String(r.session ?? '')…).</t>
        </is>
      </c>
      <c r="H137" s="27" t="inlineStr"/>
      <c r="I137" s="28" t="inlineStr">
        <is>
          <t>Not Run</t>
        </is>
      </c>
      <c r="J137" s="27" t="inlineStr"/>
    </row>
    <row r="138">
      <c r="A138" s="31" t="inlineStr">
        <is>
          <t>TC-DRVM-001</t>
        </is>
      </c>
      <c r="B138" s="32" t="inlineStr">
        <is>
          <t>Driver App (Mobile)</t>
        </is>
      </c>
      <c r="C138" s="33" t="inlineStr">
        <is>
          <t>Driver resolves to Driver app</t>
        </is>
      </c>
      <c r="D138" s="34" t="n">
        <v>1</v>
      </c>
      <c r="E138" s="32" t="inlineStr">
        <is>
          <t>Sign in on mobile as the dual-role driver</t>
        </is>
      </c>
      <c r="F138" s="32" t="inlineStr">
        <is>
          <t>dual-role account</t>
        </is>
      </c>
      <c r="G138" s="32" t="inlineStr">
        <is>
          <t>/api/mobile/bootstrap returns appRole = 'driver'.</t>
        </is>
      </c>
      <c r="H138" s="32" t="inlineStr"/>
      <c r="I138" s="35" t="inlineStr">
        <is>
          <t>Not Run</t>
        </is>
      </c>
      <c r="J138" s="32" t="inlineStr"/>
    </row>
    <row r="139">
      <c r="A139" s="27" t="inlineStr"/>
      <c r="B139" s="27" t="inlineStr"/>
      <c r="C139" s="27" t="inlineStr"/>
      <c r="D139" s="36" t="n">
        <v>2</v>
      </c>
      <c r="E139" s="27" t="inlineStr">
        <is>
          <t>Observe the app</t>
        </is>
      </c>
      <c r="F139" s="27" t="inlineStr">
        <is>
          <t>-</t>
        </is>
      </c>
      <c r="G139" s="27" t="inlineStr">
        <is>
          <t>Driver experience loads (Driver takes precedence over admin/staff).</t>
        </is>
      </c>
      <c r="H139" s="27" t="inlineStr"/>
      <c r="I139" s="28" t="inlineStr">
        <is>
          <t>Not Run</t>
        </is>
      </c>
      <c r="J139" s="27" t="inlineStr"/>
    </row>
    <row r="140">
      <c r="A140" s="31" t="inlineStr">
        <is>
          <t>TC-DRVM-002</t>
        </is>
      </c>
      <c r="B140" s="32" t="inlineStr">
        <is>
          <t>Driver App (Mobile)</t>
        </is>
      </c>
      <c r="C140" s="33" t="inlineStr">
        <is>
          <t>Driver tabs present</t>
        </is>
      </c>
      <c r="D140" s="34" t="n">
        <v>1</v>
      </c>
      <c r="E140" s="32" t="inlineStr">
        <is>
          <t>Open the driver app tab bar</t>
        </is>
      </c>
      <c r="F140" s="32" t="inlineStr">
        <is>
          <t>-</t>
        </is>
      </c>
      <c r="G140" s="32" t="inlineStr">
        <is>
          <t>Tabs: Today, Search, Routes, Incident, Messages, Journey log, Assistant, Help, Account.</t>
        </is>
      </c>
      <c r="H140" s="32" t="inlineStr"/>
      <c r="I140" s="35" t="inlineStr">
        <is>
          <t>Not Run</t>
        </is>
      </c>
      <c r="J140" s="32" t="inlineStr"/>
    </row>
    <row r="141">
      <c r="A141" s="27" t="inlineStr"/>
      <c r="B141" s="27" t="inlineStr"/>
      <c r="C141" s="27" t="inlineStr"/>
      <c r="D141" s="36" t="n">
        <v>2</v>
      </c>
      <c r="E141" s="27" t="inlineStr">
        <is>
          <t>Open each tab</t>
        </is>
      </c>
      <c r="F141" s="27" t="inlineStr">
        <is>
          <t>-</t>
        </is>
      </c>
      <c r="G141" s="27" t="inlineStr">
        <is>
          <t>Each screen renders without error.</t>
        </is>
      </c>
      <c r="H141" s="27" t="inlineStr"/>
      <c r="I141" s="28" t="inlineStr">
        <is>
          <t>Not Run</t>
        </is>
      </c>
      <c r="J141" s="27" t="inlineStr"/>
    </row>
    <row r="142">
      <c r="A142" s="31" t="inlineStr">
        <is>
          <t>TC-DRVM-003</t>
        </is>
      </c>
      <c r="B142" s="32" t="inlineStr">
        <is>
          <t>Driver App (Mobile)</t>
        </is>
      </c>
      <c r="C142" s="33" t="inlineStr">
        <is>
          <t>Today's journeys start/complete</t>
        </is>
      </c>
      <c r="D142" s="34" t="n">
        <v>1</v>
      </c>
      <c r="E142" s="32" t="inlineStr">
        <is>
          <t>Open Today</t>
        </is>
      </c>
      <c r="F142" s="32" t="inlineStr">
        <is>
          <t>-</t>
        </is>
      </c>
      <c r="G142" s="32" t="inlineStr">
        <is>
          <t>Assigned journeys listed with counts.</t>
        </is>
      </c>
      <c r="H142" s="32" t="inlineStr"/>
      <c r="I142" s="35" t="inlineStr">
        <is>
          <t>Not Run</t>
        </is>
      </c>
      <c r="J142" s="32" t="inlineStr"/>
    </row>
    <row r="143">
      <c r="A143" s="27" t="inlineStr"/>
      <c r="B143" s="27" t="inlineStr"/>
      <c r="C143" s="27" t="inlineStr"/>
      <c r="D143" s="36" t="n">
        <v>2</v>
      </c>
      <c r="E143" s="27" t="inlineStr">
        <is>
          <t>Start then complete a journey</t>
        </is>
      </c>
      <c r="F143" s="27" t="inlineStr">
        <is>
          <t>-</t>
        </is>
      </c>
      <c r="G143" s="27" t="inlineStr">
        <is>
          <t>Families notified; state transitions; log updates.</t>
        </is>
      </c>
      <c r="H143" s="27" t="inlineStr"/>
      <c r="I143" s="28" t="inlineStr">
        <is>
          <t>Not Run</t>
        </is>
      </c>
      <c r="J143" s="27" t="inlineStr"/>
    </row>
    <row r="144">
      <c r="A144" s="31" t="inlineStr">
        <is>
          <t>TC-DRVM-004</t>
        </is>
      </c>
      <c r="B144" s="32" t="inlineStr">
        <is>
          <t>Driver App (Mobile)</t>
        </is>
      </c>
      <c r="C144" s="33" t="inlineStr">
        <is>
          <t>Report an incident (mobile)</t>
        </is>
      </c>
      <c r="D144" s="34" t="n">
        <v>1</v>
      </c>
      <c r="E144" s="32" t="inlineStr">
        <is>
          <t>Open Incident, pick type &amp; severity, add notes</t>
        </is>
      </c>
      <c r="F144" s="32" t="inlineStr">
        <is>
          <t>type, severity, notes</t>
        </is>
      </c>
      <c r="G144" s="32" t="inlineStr">
        <is>
          <t>Validation requires notes.</t>
        </is>
      </c>
      <c r="H144" s="32" t="inlineStr"/>
      <c r="I144" s="35" t="inlineStr">
        <is>
          <t>Not Run</t>
        </is>
      </c>
      <c r="J144" s="32" t="inlineStr"/>
    </row>
    <row r="145">
      <c r="A145" s="27" t="inlineStr"/>
      <c r="B145" s="27" t="inlineStr"/>
      <c r="C145" s="27" t="inlineStr"/>
      <c r="D145" s="36" t="n">
        <v>2</v>
      </c>
      <c r="E145" s="27" t="inlineStr">
        <is>
          <t>Submit</t>
        </is>
      </c>
      <c r="F145" s="27" t="inlineStr">
        <is>
          <t>-</t>
        </is>
      </c>
      <c r="G145" s="27" t="inlineStr">
        <is>
          <t>POST succeeds; 'My reported incidents' shows it.</t>
        </is>
      </c>
      <c r="H145" s="27" t="inlineStr"/>
      <c r="I145" s="28" t="inlineStr">
        <is>
          <t>Not Run</t>
        </is>
      </c>
      <c r="J145" s="27" t="inlineStr"/>
    </row>
    <row r="146">
      <c r="A146" s="31" t="inlineStr">
        <is>
          <t>TC-DRVM-005</t>
        </is>
      </c>
      <c r="B146" s="32" t="inlineStr">
        <is>
          <t>Driver App (Mobile)</t>
        </is>
      </c>
      <c r="C146" s="33" t="inlineStr">
        <is>
          <t>Journey history</t>
        </is>
      </c>
      <c r="D146" s="34" t="n">
        <v>1</v>
      </c>
      <c r="E146" s="32" t="inlineStr">
        <is>
          <t>Open Journey log</t>
        </is>
      </c>
      <c r="F146" s="32" t="inlineStr">
        <is>
          <t>-</t>
        </is>
      </c>
      <c r="G146" s="32" t="inlineStr">
        <is>
          <t>Past journeys with completed count; null session shows '—' safely.</t>
        </is>
      </c>
      <c r="H146" s="32" t="inlineStr"/>
      <c r="I146" s="35" t="inlineStr">
        <is>
          <t>Not Run</t>
        </is>
      </c>
      <c r="J146" s="32" t="inlineStr"/>
    </row>
    <row r="147">
      <c r="A147" s="31" t="inlineStr">
        <is>
          <t>TC-DRVM-006</t>
        </is>
      </c>
      <c r="B147" s="32" t="inlineStr">
        <is>
          <t>Driver App (Mobile)</t>
        </is>
      </c>
      <c r="C147" s="33" t="inlineStr">
        <is>
          <t>Debounced driver search</t>
        </is>
      </c>
      <c r="D147" s="34" t="n">
        <v>1</v>
      </c>
      <c r="E147" s="32" t="inlineStr">
        <is>
          <t>Type a 2+ char query in Search</t>
        </is>
      </c>
      <c r="F147" s="32" t="inlineStr">
        <is>
          <t>query</t>
        </is>
      </c>
      <c r="G147" s="32" t="inlineStr">
        <is>
          <t>After ~300ms, grouped results (routes/passengers/journeys) shown.</t>
        </is>
      </c>
      <c r="H147" s="32" t="inlineStr"/>
      <c r="I147" s="35" t="inlineStr">
        <is>
          <t>Not Run</t>
        </is>
      </c>
      <c r="J147" s="32" t="inlineStr"/>
    </row>
    <row r="148">
      <c r="A148" s="27" t="inlineStr"/>
      <c r="B148" s="27" t="inlineStr"/>
      <c r="C148" s="27" t="inlineStr"/>
      <c r="D148" s="36" t="n">
        <v>2</v>
      </c>
      <c r="E148" s="27" t="inlineStr">
        <is>
          <t>Type a no-match query</t>
        </is>
      </c>
      <c r="F148" s="27" t="inlineStr">
        <is>
          <t>zzz</t>
        </is>
      </c>
      <c r="G148" s="27" t="inlineStr">
        <is>
          <t>'No matches' message shown.</t>
        </is>
      </c>
      <c r="H148" s="27" t="inlineStr"/>
      <c r="I148" s="28" t="inlineStr">
        <is>
          <t>Not Run</t>
        </is>
      </c>
      <c r="J148" s="27" t="inlineStr"/>
    </row>
    <row r="149">
      <c r="A149" s="31" t="inlineStr">
        <is>
          <t>TC-DRVM-007</t>
        </is>
      </c>
      <c r="B149" s="32" t="inlineStr">
        <is>
          <t>Driver App (Mobile)</t>
        </is>
      </c>
      <c r="C149" s="33" t="inlineStr">
        <is>
          <t>Help &amp; support tickets</t>
        </is>
      </c>
      <c r="D149" s="34" t="n">
        <v>1</v>
      </c>
      <c r="E149" s="32" t="inlineStr">
        <is>
          <t>Open Help</t>
        </is>
      </c>
      <c r="F149" s="32" t="inlineStr">
        <is>
          <t>-</t>
        </is>
      </c>
      <c r="G149" s="32" t="inlineStr">
        <is>
          <t>SupportTickets list renders in a scroll view.</t>
        </is>
      </c>
      <c r="H149" s="32" t="inlineStr"/>
      <c r="I149" s="35" t="inlineStr">
        <is>
          <t>Not Run</t>
        </is>
      </c>
      <c r="J149" s="32" t="inlineStr"/>
    </row>
    <row r="150">
      <c r="A150" s="27" t="inlineStr"/>
      <c r="B150" s="27" t="inlineStr"/>
      <c r="C150" s="27" t="inlineStr"/>
      <c r="D150" s="36" t="n">
        <v>2</v>
      </c>
      <c r="E150" s="27" t="inlineStr">
        <is>
          <t>Raise and reply to a ticket</t>
        </is>
      </c>
      <c r="F150" s="27" t="inlineStr">
        <is>
          <t>ticket</t>
        </is>
      </c>
      <c r="G150" s="27" t="inlineStr">
        <is>
          <t>Created, listed and replyable.</t>
        </is>
      </c>
      <c r="H150" s="27" t="inlineStr"/>
      <c r="I150" s="28" t="inlineStr">
        <is>
          <t>Not Run</t>
        </is>
      </c>
      <c r="J150" s="27" t="inlineStr"/>
    </row>
    <row r="151">
      <c r="A151" s="31" t="inlineStr">
        <is>
          <t>TC-TM-001</t>
        </is>
      </c>
      <c r="B151" s="32" t="inlineStr">
        <is>
          <t>Transport-Manager Portal</t>
        </is>
      </c>
      <c r="C151" s="33" t="inlineStr">
        <is>
          <t>TM dashboard</t>
        </is>
      </c>
      <c r="D151" s="34" t="n">
        <v>1</v>
      </c>
      <c r="E151" s="32" t="inlineStr">
        <is>
          <t>Open the TM dashboard</t>
        </is>
      </c>
      <c r="F151" s="32" t="inlineStr">
        <is>
          <t>-</t>
        </is>
      </c>
      <c r="G151" s="32" t="inlineStr">
        <is>
          <t>Fleet/journey KPIs render.</t>
        </is>
      </c>
      <c r="H151" s="32" t="inlineStr"/>
      <c r="I151" s="35" t="inlineStr">
        <is>
          <t>Not Run</t>
        </is>
      </c>
      <c r="J151" s="32" t="inlineStr"/>
    </row>
    <row r="152">
      <c r="A152" s="31" t="inlineStr">
        <is>
          <t>TC-TM-002</t>
        </is>
      </c>
      <c r="B152" s="32" t="inlineStr">
        <is>
          <t>Transport-Manager Portal</t>
        </is>
      </c>
      <c r="C152" s="33" t="inlineStr">
        <is>
          <t>Live control room</t>
        </is>
      </c>
      <c r="D152" s="34" t="n">
        <v>1</v>
      </c>
      <c r="E152" s="32" t="inlineStr">
        <is>
          <t>Open Control</t>
        </is>
      </c>
      <c r="F152" s="32" t="inlineStr">
        <is>
          <t>-</t>
        </is>
      </c>
      <c r="G152" s="32" t="inlineStr">
        <is>
          <t>Active journeys listed with live status.</t>
        </is>
      </c>
      <c r="H152" s="32" t="inlineStr"/>
      <c r="I152" s="35" t="inlineStr">
        <is>
          <t>Not Run</t>
        </is>
      </c>
      <c r="J152" s="32" t="inlineStr"/>
    </row>
    <row r="153">
      <c r="A153" s="31" t="inlineStr">
        <is>
          <t>TC-TM-003</t>
        </is>
      </c>
      <c r="B153" s="32" t="inlineStr">
        <is>
          <t>Transport-Manager Portal</t>
        </is>
      </c>
      <c r="C153" s="33" t="inlineStr">
        <is>
          <t>Travel logs view</t>
        </is>
      </c>
      <c r="D153" s="34" t="n">
        <v>1</v>
      </c>
      <c r="E153" s="32" t="inlineStr">
        <is>
          <t>Open Travel logs</t>
        </is>
      </c>
      <c r="F153" s="32" t="inlineStr">
        <is>
          <t>-</t>
        </is>
      </c>
      <c r="G153" s="32" t="inlineStr">
        <is>
          <t>Rows render; null session shows '—'.</t>
        </is>
      </c>
      <c r="H153" s="32" t="inlineStr"/>
      <c r="I153" s="35" t="inlineStr">
        <is>
          <t>Not Run</t>
        </is>
      </c>
      <c r="J153" s="32" t="inlineStr"/>
    </row>
    <row r="154">
      <c r="A154" s="31" t="inlineStr">
        <is>
          <t>TC-TM-004</t>
        </is>
      </c>
      <c r="B154" s="32" t="inlineStr">
        <is>
          <t>Transport-Manager Portal</t>
        </is>
      </c>
      <c r="C154" s="33" t="inlineStr">
        <is>
          <t>Manage incidents</t>
        </is>
      </c>
      <c r="D154" s="34" t="n">
        <v>1</v>
      </c>
      <c r="E154" s="32" t="inlineStr">
        <is>
          <t>Open Incidents</t>
        </is>
      </c>
      <c r="F154" s="32" t="inlineStr">
        <is>
          <t>-</t>
        </is>
      </c>
      <c r="G154" s="32" t="inlineStr">
        <is>
          <t>Reported incidents listed with severity/status.</t>
        </is>
      </c>
      <c r="H154" s="32" t="inlineStr"/>
      <c r="I154" s="35" t="inlineStr">
        <is>
          <t>Not Run</t>
        </is>
      </c>
      <c r="J154" s="32" t="inlineStr"/>
    </row>
    <row r="155">
      <c r="A155" s="27" t="inlineStr"/>
      <c r="B155" s="27" t="inlineStr"/>
      <c r="C155" s="27" t="inlineStr"/>
      <c r="D155" s="36" t="n">
        <v>2</v>
      </c>
      <c r="E155" s="27" t="inlineStr">
        <is>
          <t>Update an incident status</t>
        </is>
      </c>
      <c r="F155" s="27" t="inlineStr">
        <is>
          <t>status</t>
        </is>
      </c>
      <c r="G155" s="27" t="inlineStr">
        <is>
          <t>Change saved and audited.</t>
        </is>
      </c>
      <c r="H155" s="27" t="inlineStr"/>
      <c r="I155" s="28" t="inlineStr">
        <is>
          <t>Not Run</t>
        </is>
      </c>
      <c r="J155" s="27" t="inlineStr"/>
    </row>
    <row r="156">
      <c r="A156" s="31" t="inlineStr">
        <is>
          <t>TC-TM-005</t>
        </is>
      </c>
      <c r="B156" s="32" t="inlineStr">
        <is>
          <t>Transport-Manager Portal</t>
        </is>
      </c>
      <c r="C156" s="33" t="inlineStr">
        <is>
          <t>Vehicles &amp; driver logs</t>
        </is>
      </c>
      <c r="D156" s="34" t="n">
        <v>1</v>
      </c>
      <c r="E156" s="32" t="inlineStr">
        <is>
          <t>Open Vehicles, Drivers, Driver logs, Routes in turn</t>
        </is>
      </c>
      <c r="F156" s="32" t="inlineStr">
        <is>
          <t>-</t>
        </is>
      </c>
      <c r="G156" s="32" t="inlineStr">
        <is>
          <t>Each renders with correct data.</t>
        </is>
      </c>
      <c r="H156" s="32" t="inlineStr"/>
      <c r="I156" s="35" t="inlineStr">
        <is>
          <t>Not Run</t>
        </is>
      </c>
      <c r="J156" s="32" t="inlineStr"/>
    </row>
    <row r="157">
      <c r="A157" s="31" t="inlineStr">
        <is>
          <t>TC-ONB-001</t>
        </is>
      </c>
      <c r="B157" s="32" t="inlineStr">
        <is>
          <t>Onboarding &amp; Profile Enforcement</t>
        </is>
      </c>
      <c r="C157" s="33" t="inlineStr">
        <is>
          <t>Profile enforcement is tenant-admin only</t>
        </is>
      </c>
      <c r="D157" s="34" t="n">
        <v>1</v>
      </c>
      <c r="E157" s="32" t="inlineStr">
        <is>
          <t>Sign in as the tenant admin</t>
        </is>
      </c>
      <c r="F157" s="32" t="inlineStr">
        <is>
          <t>-</t>
        </is>
      </c>
      <c r="G157" s="32" t="inlineStr">
        <is>
          <t>Profile-enforcement pop-up appears (st.activation … isAdmin).</t>
        </is>
      </c>
      <c r="H157" s="32" t="inlineStr"/>
      <c r="I157" s="35" t="inlineStr">
        <is>
          <t>Not Run</t>
        </is>
      </c>
      <c r="J157" s="32" t="inlineStr"/>
    </row>
    <row r="158">
      <c r="A158" s="27" t="inlineStr"/>
      <c r="B158" s="27" t="inlineStr"/>
      <c r="C158" s="27" t="inlineStr"/>
      <c r="D158" s="36" t="n">
        <v>2</v>
      </c>
      <c r="E158" s="27" t="inlineStr">
        <is>
          <t>Sign in as a non-admin member</t>
        </is>
      </c>
      <c r="F158" s="27" t="inlineStr">
        <is>
          <t>-</t>
        </is>
      </c>
      <c r="G158" s="27" t="inlineStr">
        <is>
          <t>No enforcement pop-up; only terms/tour/policies.</t>
        </is>
      </c>
      <c r="H158" s="27" t="inlineStr"/>
      <c r="I158" s="28" t="inlineStr">
        <is>
          <t>Not Run</t>
        </is>
      </c>
      <c r="J158" s="27" t="inlineStr"/>
    </row>
    <row r="159">
      <c r="A159" s="31" t="inlineStr">
        <is>
          <t>TC-ONB-002</t>
        </is>
      </c>
      <c r="B159" s="32" t="inlineStr">
        <is>
          <t>Onboarding &amp; Profile Enforcement</t>
        </is>
      </c>
      <c r="C159" s="33" t="inlineStr">
        <is>
          <t>Accept Terms of Business</t>
        </is>
      </c>
      <c r="D159" s="34" t="n">
        <v>1</v>
      </c>
      <c r="E159" s="32" t="inlineStr">
        <is>
          <t>Sign in as a user who hasn't accepted terms</t>
        </is>
      </c>
      <c r="F159" s="32" t="inlineStr">
        <is>
          <t>-</t>
        </is>
      </c>
      <c r="G159" s="32" t="inlineStr">
        <is>
          <t>Terms of Business presented.</t>
        </is>
      </c>
      <c r="H159" s="32" t="inlineStr"/>
      <c r="I159" s="35" t="inlineStr">
        <is>
          <t>Not Run</t>
        </is>
      </c>
      <c r="J159" s="32" t="inlineStr"/>
    </row>
    <row r="160">
      <c r="A160" s="27" t="inlineStr"/>
      <c r="B160" s="27" t="inlineStr"/>
      <c r="C160" s="27" t="inlineStr"/>
      <c r="D160" s="36" t="n">
        <v>2</v>
      </c>
      <c r="E160" s="27" t="inlineStr">
        <is>
          <t>Accept</t>
        </is>
      </c>
      <c r="F160" s="27" t="inlineStr">
        <is>
          <t>accept</t>
        </is>
      </c>
      <c r="G160" s="27" t="inlineStr">
        <is>
          <t>Acceptance recorded; not shown again.</t>
        </is>
      </c>
      <c r="H160" s="27" t="inlineStr"/>
      <c r="I160" s="28" t="inlineStr">
        <is>
          <t>Not Run</t>
        </is>
      </c>
      <c r="J160" s="27" t="inlineStr"/>
    </row>
    <row r="161">
      <c r="A161" s="31" t="inlineStr">
        <is>
          <t>TC-ONB-003</t>
        </is>
      </c>
      <c r="B161" s="32" t="inlineStr">
        <is>
          <t>Onboarding &amp; Profile Enforcement</t>
        </is>
      </c>
      <c r="C161" s="33" t="inlineStr">
        <is>
          <t>Acknowledge policies</t>
        </is>
      </c>
      <c r="D161" s="34" t="n">
        <v>1</v>
      </c>
      <c r="E161" s="32" t="inlineStr">
        <is>
          <t>Open the policies list</t>
        </is>
      </c>
      <c r="F161" s="32" t="inlineStr">
        <is>
          <t>-</t>
        </is>
      </c>
      <c r="G161" s="32" t="inlineStr">
        <is>
          <t>Policies listed (privacy, safeguarding, AI usage, etc.).</t>
        </is>
      </c>
      <c r="H161" s="32" t="inlineStr"/>
      <c r="I161" s="35" t="inlineStr">
        <is>
          <t>Not Run</t>
        </is>
      </c>
      <c r="J161" s="32" t="inlineStr"/>
    </row>
    <row r="162">
      <c r="A162" s="27" t="inlineStr"/>
      <c r="B162" s="27" t="inlineStr"/>
      <c r="C162" s="27" t="inlineStr"/>
      <c r="D162" s="36" t="n">
        <v>2</v>
      </c>
      <c r="E162" s="27" t="inlineStr">
        <is>
          <t>Acknowledge a policy needing action</t>
        </is>
      </c>
      <c r="F162" s="27" t="inlineStr">
        <is>
          <t>acknowledge</t>
        </is>
      </c>
      <c r="G162" s="27" t="inlineStr">
        <is>
          <t>Recorded.</t>
        </is>
      </c>
      <c r="H162" s="27" t="inlineStr"/>
      <c r="I162" s="28" t="inlineStr">
        <is>
          <t>Not Run</t>
        </is>
      </c>
      <c r="J162" s="27" t="inlineStr"/>
    </row>
    <row r="163">
      <c r="A163" s="31" t="inlineStr">
        <is>
          <t>TC-ONB-004</t>
        </is>
      </c>
      <c r="B163" s="32" t="inlineStr">
        <is>
          <t>Onboarding &amp; Profile Enforcement</t>
        </is>
      </c>
      <c r="C163" s="33" t="inlineStr">
        <is>
          <t>Product tour</t>
        </is>
      </c>
      <c r="D163" s="34" t="n">
        <v>1</v>
      </c>
      <c r="E163" s="32" t="inlineStr">
        <is>
          <t>Trigger the product tour</t>
        </is>
      </c>
      <c r="F163" s="32" t="inlineStr">
        <is>
          <t>-</t>
        </is>
      </c>
      <c r="G163" s="32" t="inlineStr">
        <is>
          <t>Tour steps shown.</t>
        </is>
      </c>
      <c r="H163" s="32" t="inlineStr"/>
      <c r="I163" s="35" t="inlineStr">
        <is>
          <t>Not Run</t>
        </is>
      </c>
      <c r="J163" s="32" t="inlineStr"/>
    </row>
    <row r="164">
      <c r="A164" s="27" t="inlineStr"/>
      <c r="B164" s="27" t="inlineStr"/>
      <c r="C164" s="27" t="inlineStr"/>
      <c r="D164" s="36" t="n">
        <v>2</v>
      </c>
      <c r="E164" s="27" t="inlineStr">
        <is>
          <t>Complete/skip the tour</t>
        </is>
      </c>
      <c r="F164" s="27" t="inlineStr">
        <is>
          <t>-</t>
        </is>
      </c>
      <c r="G164" s="27" t="inlineStr">
        <is>
          <t>Not shown again on next login.</t>
        </is>
      </c>
      <c r="H164" s="27" t="inlineStr"/>
      <c r="I164" s="28" t="inlineStr">
        <is>
          <t>Not Run</t>
        </is>
      </c>
      <c r="J164" s="27" t="inlineStr"/>
    </row>
    <row r="165">
      <c r="A165" s="31" t="inlineStr">
        <is>
          <t>TC-NOTIF-001</t>
        </is>
      </c>
      <c r="B165" s="32" t="inlineStr">
        <is>
          <t>Notifications &amp; Preferences</t>
        </is>
      </c>
      <c r="C165" s="33" t="inlineStr">
        <is>
          <t>Preferences persist</t>
        </is>
      </c>
      <c r="D165" s="34" t="n">
        <v>1</v>
      </c>
      <c r="E165" s="32" t="inlineStr">
        <is>
          <t>Change several notification preferences</t>
        </is>
      </c>
      <c r="F165" s="32" t="inlineStr">
        <is>
          <t>prefs</t>
        </is>
      </c>
      <c r="G165" s="32" t="inlineStr">
        <is>
          <t>Saved.</t>
        </is>
      </c>
      <c r="H165" s="32" t="inlineStr"/>
      <c r="I165" s="35" t="inlineStr">
        <is>
          <t>Not Run</t>
        </is>
      </c>
      <c r="J165" s="32" t="inlineStr"/>
    </row>
    <row r="166">
      <c r="A166" s="27" t="inlineStr"/>
      <c r="B166" s="27" t="inlineStr"/>
      <c r="C166" s="27" t="inlineStr"/>
      <c r="D166" s="36" t="n">
        <v>2</v>
      </c>
      <c r="E166" s="27" t="inlineStr">
        <is>
          <t>Sign out and back in</t>
        </is>
      </c>
      <c r="F166" s="27" t="inlineStr">
        <is>
          <t>-</t>
        </is>
      </c>
      <c r="G166" s="27" t="inlineStr">
        <is>
          <t>Preferences retained.</t>
        </is>
      </c>
      <c r="H166" s="27" t="inlineStr"/>
      <c r="I166" s="28" t="inlineStr">
        <is>
          <t>Not Run</t>
        </is>
      </c>
      <c r="J166" s="27" t="inlineStr"/>
    </row>
    <row r="167">
      <c r="A167" s="31" t="inlineStr">
        <is>
          <t>TC-NOTIF-002</t>
        </is>
      </c>
      <c r="B167" s="32" t="inlineStr">
        <is>
          <t>Notifications &amp; Preferences</t>
        </is>
      </c>
      <c r="C167" s="33" t="inlineStr">
        <is>
          <t>SMS / WhatsApp delivery</t>
        </is>
      </c>
      <c r="D167" s="34" t="n">
        <v>1</v>
      </c>
      <c r="E167" s="32" t="inlineStr">
        <is>
          <t>Trigger a notifiable event (e.g. route delay)</t>
        </is>
      </c>
      <c r="F167" s="32" t="inlineStr">
        <is>
          <t>event</t>
        </is>
      </c>
      <c r="G167" s="32" t="inlineStr">
        <is>
          <t>In-app + configured SMS/WhatsApp/push dispatched.</t>
        </is>
      </c>
      <c r="H167" s="32" t="inlineStr"/>
      <c r="I167" s="35" t="inlineStr">
        <is>
          <t>Not Run</t>
        </is>
      </c>
      <c r="J167" s="32" t="inlineStr"/>
    </row>
    <row r="168">
      <c r="A168" s="31" t="inlineStr">
        <is>
          <t>TC-NOTIF-003</t>
        </is>
      </c>
      <c r="B168" s="32" t="inlineStr">
        <is>
          <t>Notifications &amp; Preferences</t>
        </is>
      </c>
      <c r="C168" s="33" t="inlineStr">
        <is>
          <t>Mobile push receipt</t>
        </is>
      </c>
      <c r="D168" s="34" t="n">
        <v>1</v>
      </c>
      <c r="E168" s="32" t="inlineStr">
        <is>
          <t>Trigger a push event</t>
        </is>
      </c>
      <c r="F168" s="32" t="inlineStr">
        <is>
          <t>event</t>
        </is>
      </c>
      <c r="G168" s="32" t="inlineStr">
        <is>
          <t>Device receives the push; deep-links to the item.</t>
        </is>
      </c>
      <c r="H168" s="32" t="inlineStr"/>
      <c r="I168" s="35" t="inlineStr">
        <is>
          <t>Not Run</t>
        </is>
      </c>
      <c r="J168" s="32" t="inlineStr"/>
    </row>
    <row r="169">
      <c r="A169" s="31" t="inlineStr">
        <is>
          <t>TC-SEC-001</t>
        </is>
      </c>
      <c r="B169" s="32" t="inlineStr">
        <is>
          <t>Security, PII &amp; Audit</t>
        </is>
      </c>
      <c r="C169" s="33" t="inlineStr">
        <is>
          <t>PII masking by policy</t>
        </is>
      </c>
      <c r="D169" s="34" t="n">
        <v>1</v>
      </c>
      <c r="E169" s="32" t="inlineStr">
        <is>
          <t>View a record containing PII as a restricted role</t>
        </is>
      </c>
      <c r="F169" s="32" t="inlineStr">
        <is>
          <t>-</t>
        </is>
      </c>
      <c r="G169" s="32" t="inlineStr">
        <is>
          <t>Sensitive fields masked.</t>
        </is>
      </c>
      <c r="H169" s="32" t="inlineStr"/>
      <c r="I169" s="35" t="inlineStr">
        <is>
          <t>Not Run</t>
        </is>
      </c>
      <c r="J169" s="32" t="inlineStr"/>
    </row>
    <row r="170">
      <c r="A170" s="27" t="inlineStr"/>
      <c r="B170" s="27" t="inlineStr"/>
      <c r="C170" s="27" t="inlineStr"/>
      <c r="D170" s="36" t="n">
        <v>2</v>
      </c>
      <c r="E170" s="27" t="inlineStr">
        <is>
          <t>View as an authorised role</t>
        </is>
      </c>
      <c r="F170" s="27" t="inlineStr">
        <is>
          <t>-</t>
        </is>
      </c>
      <c r="G170" s="27" t="inlineStr">
        <is>
          <t>Full values shown per policy.</t>
        </is>
      </c>
      <c r="H170" s="27" t="inlineStr"/>
      <c r="I170" s="28" t="inlineStr">
        <is>
          <t>Not Run</t>
        </is>
      </c>
      <c r="J170" s="27" t="inlineStr"/>
    </row>
    <row r="171">
      <c r="A171" s="31" t="inlineStr">
        <is>
          <t>TC-SEC-002</t>
        </is>
      </c>
      <c r="B171" s="32" t="inlineStr">
        <is>
          <t>Security, PII &amp; Audit</t>
        </is>
      </c>
      <c r="C171" s="33" t="inlineStr">
        <is>
          <t>Audit on sensitive action</t>
        </is>
      </c>
      <c r="D171" s="34" t="n">
        <v>1</v>
      </c>
      <c r="E171" s="32" t="inlineStr">
        <is>
          <t>Perform a sensitive action (activation, export, role change)</t>
        </is>
      </c>
      <c r="F171" s="32" t="inlineStr">
        <is>
          <t>action</t>
        </is>
      </c>
      <c r="G171" s="32" t="inlineStr">
        <is>
          <t>An audit entry with actor/time/target is written.</t>
        </is>
      </c>
      <c r="H171" s="32" t="inlineStr"/>
      <c r="I171" s="35" t="inlineStr">
        <is>
          <t>Not Run</t>
        </is>
      </c>
      <c r="J171" s="32" t="inlineStr"/>
    </row>
    <row r="172">
      <c r="A172" s="31" t="inlineStr">
        <is>
          <t>TC-SEC-003</t>
        </is>
      </c>
      <c r="B172" s="32" t="inlineStr">
        <is>
          <t>Security, PII &amp; Audit</t>
        </is>
      </c>
      <c r="C172" s="33" t="inlineStr">
        <is>
          <t>Tenant data isolation (negative)</t>
        </is>
      </c>
      <c r="D172" s="34" t="n">
        <v>1</v>
      </c>
      <c r="E172" s="32" t="inlineStr">
        <is>
          <t>Attempt cross-tenant reads via ids/APIs</t>
        </is>
      </c>
      <c r="F172" s="32" t="inlineStr">
        <is>
          <t>other-tenant ids</t>
        </is>
      </c>
      <c r="G172" s="32" t="inlineStr">
        <is>
          <t>All blocked; nothing leaked.</t>
        </is>
      </c>
      <c r="H172" s="32" t="inlineStr"/>
      <c r="I172" s="35" t="inlineStr">
        <is>
          <t>Not Run</t>
        </is>
      </c>
      <c r="J172" s="32" t="inlineStr"/>
    </row>
    <row r="173">
      <c r="A173" s="31" t="inlineStr">
        <is>
          <t>TC-INT-001</t>
        </is>
      </c>
      <c r="B173" s="32" t="inlineStr">
        <is>
          <t>Integration Hub</t>
        </is>
      </c>
      <c r="C173" s="33" t="inlineStr">
        <is>
          <t>MIS sync error queue</t>
        </is>
      </c>
      <c r="D173" s="34" t="n">
        <v>1</v>
      </c>
      <c r="E173" s="32" t="inlineStr">
        <is>
          <t>Run a sync with some invalid records</t>
        </is>
      </c>
      <c r="F173" s="32" t="inlineStr">
        <is>
          <t>mixed feed</t>
        </is>
      </c>
      <c r="G173" s="32" t="inlineStr">
        <is>
          <t>Valid records import.</t>
        </is>
      </c>
      <c r="H173" s="32" t="inlineStr"/>
      <c r="I173" s="35" t="inlineStr">
        <is>
          <t>Not Run</t>
        </is>
      </c>
      <c r="J173" s="32" t="inlineStr"/>
    </row>
    <row r="174">
      <c r="A174" s="27" t="inlineStr"/>
      <c r="B174" s="27" t="inlineStr"/>
      <c r="C174" s="27" t="inlineStr"/>
      <c r="D174" s="36" t="n">
        <v>2</v>
      </c>
      <c r="E174" s="27" t="inlineStr">
        <is>
          <t>Open the error queue</t>
        </is>
      </c>
      <c r="F174" s="27" t="inlineStr">
        <is>
          <t>-</t>
        </is>
      </c>
      <c r="G174" s="27" t="inlineStr">
        <is>
          <t>Skipped records listed with reason and suggested fix.</t>
        </is>
      </c>
      <c r="H174" s="27" t="inlineStr"/>
      <c r="I174" s="28" t="inlineStr">
        <is>
          <t>Not Run</t>
        </is>
      </c>
      <c r="J174" s="27" t="inlineStr"/>
    </row>
    <row r="175">
      <c r="A175" s="31" t="inlineStr">
        <is>
          <t>TC-INT-002</t>
        </is>
      </c>
      <c r="B175" s="32" t="inlineStr">
        <is>
          <t>Integration Hub</t>
        </is>
      </c>
      <c r="C175" s="33" t="inlineStr">
        <is>
          <t>Configure an integration</t>
        </is>
      </c>
      <c r="D175" s="34" t="n">
        <v>1</v>
      </c>
      <c r="E175" s="32" t="inlineStr">
        <is>
          <t>Add an integration and save credentials</t>
        </is>
      </c>
      <c r="F175" s="32" t="inlineStr">
        <is>
          <t>connection</t>
        </is>
      </c>
      <c r="G175" s="32" t="inlineStr">
        <is>
          <t>Saved (secrets handled server-side).</t>
        </is>
      </c>
      <c r="H175" s="32" t="inlineStr"/>
      <c r="I175" s="35" t="inlineStr">
        <is>
          <t>Not Run</t>
        </is>
      </c>
      <c r="J175" s="32" t="inlineStr"/>
    </row>
    <row r="176">
      <c r="A176" s="27" t="inlineStr"/>
      <c r="B176" s="27" t="inlineStr"/>
      <c r="C176" s="27" t="inlineStr"/>
      <c r="D176" s="36" t="n">
        <v>2</v>
      </c>
      <c r="E176" s="27" t="inlineStr">
        <is>
          <t>Test the connection</t>
        </is>
      </c>
      <c r="F176" s="27" t="inlineStr">
        <is>
          <t>-</t>
        </is>
      </c>
      <c r="G176" s="27" t="inlineStr">
        <is>
          <t>Success/failure reported clearly.</t>
        </is>
      </c>
      <c r="H176" s="27" t="inlineStr"/>
      <c r="I176" s="28" t="inlineStr">
        <is>
          <t>Not Run</t>
        </is>
      </c>
      <c r="J176" s="27" t="inlineStr"/>
    </row>
    <row r="177">
      <c r="A177" s="31" t="inlineStr">
        <is>
          <t>TC-SUP-001</t>
        </is>
      </c>
      <c r="B177" s="32" t="inlineStr">
        <is>
          <t>Support Tickets</t>
        </is>
      </c>
      <c r="C177" s="33" t="inlineStr">
        <is>
          <t>Raise a support ticket</t>
        </is>
      </c>
      <c r="D177" s="34" t="n">
        <v>1</v>
      </c>
      <c r="E177" s="32" t="inlineStr">
        <is>
          <t>Open support and complete category/priority/subject/description</t>
        </is>
      </c>
      <c r="F177" s="32" t="inlineStr">
        <is>
          <t>ticket fields</t>
        </is>
      </c>
      <c r="G177" s="32" t="inlineStr">
        <is>
          <t>Validation passes.</t>
        </is>
      </c>
      <c r="H177" s="32" t="inlineStr"/>
      <c r="I177" s="35" t="inlineStr">
        <is>
          <t>Not Run</t>
        </is>
      </c>
      <c r="J177" s="32" t="inlineStr"/>
    </row>
    <row r="178">
      <c r="A178" s="27" t="inlineStr"/>
      <c r="B178" s="27" t="inlineStr"/>
      <c r="C178" s="27" t="inlineStr"/>
      <c r="D178" s="36" t="n">
        <v>2</v>
      </c>
      <c r="E178" s="27" t="inlineStr">
        <is>
          <t>Submit (optionally with a photo)</t>
        </is>
      </c>
      <c r="F178" s="27" t="inlineStr">
        <is>
          <t>attachment</t>
        </is>
      </c>
      <c r="G178" s="27" t="inlineStr">
        <is>
          <t>Ticket created; reference returned; appears in 'My tickets'.</t>
        </is>
      </c>
      <c r="H178" s="27" t="inlineStr"/>
      <c r="I178" s="28" t="inlineStr">
        <is>
          <t>Not Run</t>
        </is>
      </c>
      <c r="J178" s="27" t="inlineStr"/>
    </row>
    <row r="179">
      <c r="A179" s="31" t="inlineStr">
        <is>
          <t>TC-SUP-002</t>
        </is>
      </c>
      <c r="B179" s="32" t="inlineStr">
        <is>
          <t>Support Tickets</t>
        </is>
      </c>
      <c r="C179" s="33" t="inlineStr">
        <is>
          <t>Reply and close</t>
        </is>
      </c>
      <c r="D179" s="34" t="n">
        <v>1</v>
      </c>
      <c r="E179" s="32" t="inlineStr">
        <is>
          <t>Open a ticket and reply</t>
        </is>
      </c>
      <c r="F179" s="32" t="inlineStr">
        <is>
          <t>reply</t>
        </is>
      </c>
      <c r="G179" s="32" t="inlineStr">
        <is>
          <t>Message appended.</t>
        </is>
      </c>
      <c r="H179" s="32" t="inlineStr"/>
      <c r="I179" s="35" t="inlineStr">
        <is>
          <t>Not Run</t>
        </is>
      </c>
      <c r="J179" s="32" t="inlineStr"/>
    </row>
    <row r="180">
      <c r="A180" s="27" t="inlineStr"/>
      <c r="B180" s="27" t="inlineStr"/>
      <c r="C180" s="27" t="inlineStr"/>
      <c r="D180" s="36" t="n">
        <v>2</v>
      </c>
      <c r="E180" s="27" t="inlineStr">
        <is>
          <t>Close the ticket</t>
        </is>
      </c>
      <c r="F180" s="27" t="inlineStr">
        <is>
          <t>-</t>
        </is>
      </c>
      <c r="G180" s="27" t="inlineStr">
        <is>
          <t>Status = closed; reopen path noted.</t>
        </is>
      </c>
      <c r="H180" s="27" t="inlineStr"/>
      <c r="I180" s="28" t="inlineStr">
        <is>
          <t>Not Run</t>
        </is>
      </c>
      <c r="J180" s="27" t="inlineStr"/>
    </row>
    <row r="181">
      <c r="A181" s="31" t="inlineStr">
        <is>
          <t>TC-SUP-003</t>
        </is>
      </c>
      <c r="B181" s="32" t="inlineStr">
        <is>
          <t>Support Tickets</t>
        </is>
      </c>
      <c r="C181" s="33" t="inlineStr">
        <is>
          <t>SLA breach indicator</t>
        </is>
      </c>
      <c r="D181" s="34" t="n">
        <v>1</v>
      </c>
      <c r="E181" s="32" t="inlineStr">
        <is>
          <t>View a ticket past its SLA</t>
        </is>
      </c>
      <c r="F181" s="32" t="inlineStr">
        <is>
          <t>-</t>
        </is>
      </c>
      <c r="G181" s="32" t="inlineStr">
        <is>
          <t>'SLA breached' indicator shown.</t>
        </is>
      </c>
      <c r="H181" s="32" t="inlineStr"/>
      <c r="I181" s="35" t="inlineStr">
        <is>
          <t>Not Run</t>
        </is>
      </c>
      <c r="J181" s="32" t="inlineStr"/>
    </row>
    <row r="182">
      <c r="A182" s="31" t="inlineStr">
        <is>
          <t>TC-MOB-001</t>
        </is>
      </c>
      <c r="B182" s="32" t="inlineStr">
        <is>
          <t>Mobile Platform / Bootstrap</t>
        </is>
      </c>
      <c r="C182" s="33" t="inlineStr">
        <is>
          <t>Bootstrap payload correctness</t>
        </is>
      </c>
      <c r="D182" s="34" t="n">
        <v>1</v>
      </c>
      <c r="E182" s="32" t="inlineStr">
        <is>
          <t>Sign in on mobile</t>
        </is>
      </c>
      <c r="F182" s="32" t="inlineStr">
        <is>
          <t>valid credentials</t>
        </is>
      </c>
      <c r="G182" s="32" t="inlineStr">
        <is>
          <t>/api/mobile/bootstrap returns a complete, role-aware payload.</t>
        </is>
      </c>
      <c r="H182" s="32" t="inlineStr"/>
      <c r="I182" s="35" t="inlineStr">
        <is>
          <t>Not Run</t>
        </is>
      </c>
      <c r="J182" s="32" t="inlineStr"/>
    </row>
    <row r="183">
      <c r="A183" s="27" t="inlineStr"/>
      <c r="B183" s="27" t="inlineStr"/>
      <c r="C183" s="27" t="inlineStr"/>
      <c r="D183" s="36" t="n">
        <v>2</v>
      </c>
      <c r="E183" s="27" t="inlineStr">
        <is>
          <t>Verify role routing</t>
        </is>
      </c>
      <c r="F183" s="27" t="inlineStr">
        <is>
          <t>-</t>
        </is>
      </c>
      <c r="G183" s="27" t="inlineStr">
        <is>
          <t>appRole maps to the correct app (parent/teacher/driver/admin).</t>
        </is>
      </c>
      <c r="H183" s="27" t="inlineStr"/>
      <c r="I183" s="28" t="inlineStr">
        <is>
          <t>Not Run</t>
        </is>
      </c>
      <c r="J183" s="27" t="inlineStr"/>
    </row>
    <row r="184">
      <c r="A184" s="31" t="inlineStr">
        <is>
          <t>TC-MOB-002</t>
        </is>
      </c>
      <c r="B184" s="32" t="inlineStr">
        <is>
          <t>Mobile Platform / Bootstrap</t>
        </is>
      </c>
      <c r="C184" s="33" t="inlineStr">
        <is>
          <t>Bootstrap tolerant of un-migrated columns</t>
        </is>
      </c>
      <c r="D184" s="34" t="n">
        <v>1</v>
      </c>
      <c r="E184" s="32" t="inlineStr">
        <is>
          <t>Sign in where an optional column is absent</t>
        </is>
      </c>
      <c r="F184" s="32" t="inlineStr">
        <is>
          <t>-</t>
        </is>
      </c>
      <c r="G184" s="32" t="inlineStr">
        <is>
          <t>Bootstrap still returns 200 with guarded defaults.</t>
        </is>
      </c>
      <c r="H184" s="32" t="inlineStr"/>
      <c r="I184" s="35" t="inlineStr">
        <is>
          <t>Not Run</t>
        </is>
      </c>
      <c r="J184" s="32" t="inlineStr"/>
    </row>
    <row r="185">
      <c r="A185" s="31" t="inlineStr">
        <is>
          <t>TC-MOB-003</t>
        </is>
      </c>
      <c r="B185" s="32" t="inlineStr">
        <is>
          <t>Mobile Platform / Bootstrap</t>
        </is>
      </c>
      <c r="C185" s="33" t="inlineStr">
        <is>
          <t>Persisted/last-known state</t>
        </is>
      </c>
      <c r="D185" s="34" t="n">
        <v>1</v>
      </c>
      <c r="E185" s="32" t="inlineStr">
        <is>
          <t>Load a screen, then lose connectivity and reload</t>
        </is>
      </c>
      <c r="F185" s="32" t="inlineStr">
        <is>
          <t>-</t>
        </is>
      </c>
      <c r="G185" s="32" t="inlineStr">
        <is>
          <t>Saved data shown with a 'couldn't refresh' note.</t>
        </is>
      </c>
      <c r="H185" s="32" t="inlineStr"/>
      <c r="I185" s="35" t="inlineStr">
        <is>
          <t>Not Run</t>
        </is>
      </c>
      <c r="J185" s="32" t="inlineStr"/>
    </row>
    <row r="186">
      <c r="A186" s="31" t="inlineStr">
        <is>
          <t>TC-REG-001</t>
        </is>
      </c>
      <c r="B186" s="32" t="inlineStr">
        <is>
          <t>Cross-cutting &amp; Regression</t>
        </is>
      </c>
      <c r="C186" s="33" t="inlineStr">
        <is>
          <t>State persists across browser refresh</t>
        </is>
      </c>
      <c r="D186" s="34" t="n">
        <v>1</v>
      </c>
      <c r="E186" s="32" t="inlineStr">
        <is>
          <t>Set a tab, filters, sort and a search term</t>
        </is>
      </c>
      <c r="F186" s="32" t="inlineStr">
        <is>
          <t>filters</t>
        </is>
      </c>
      <c r="G186" s="32" t="inlineStr">
        <is>
          <t>View updates.</t>
        </is>
      </c>
      <c r="H186" s="32" t="inlineStr"/>
      <c r="I186" s="35" t="inlineStr">
        <is>
          <t>Not Run</t>
        </is>
      </c>
      <c r="J186" s="32" t="inlineStr"/>
    </row>
    <row r="187">
      <c r="A187" s="27" t="inlineStr"/>
      <c r="B187" s="27" t="inlineStr"/>
      <c r="C187" s="27" t="inlineStr"/>
      <c r="D187" s="36" t="n">
        <v>2</v>
      </c>
      <c r="E187" s="27" t="inlineStr">
        <is>
          <t>Refresh the browser</t>
        </is>
      </c>
      <c r="F187" s="27" t="inlineStr">
        <is>
          <t>-</t>
        </is>
      </c>
      <c r="G187" s="27" t="inlineStr">
        <is>
          <t>Tab (hash) and filters/sort/search are restored.</t>
        </is>
      </c>
      <c r="H187" s="27" t="inlineStr"/>
      <c r="I187" s="28" t="inlineStr">
        <is>
          <t>Not Run</t>
        </is>
      </c>
      <c r="J187" s="27" t="inlineStr"/>
    </row>
    <row r="188">
      <c r="A188" s="31" t="inlineStr">
        <is>
          <t>TC-REG-002</t>
        </is>
      </c>
      <c r="B188" s="32" t="inlineStr">
        <is>
          <t>Cross-cutting &amp; Regression</t>
        </is>
      </c>
      <c r="C188" s="33" t="inlineStr">
        <is>
          <t>Web/mobile feature parity</t>
        </is>
      </c>
      <c r="D188" s="34" t="n">
        <v>1</v>
      </c>
      <c r="E188" s="32" t="inlineStr">
        <is>
          <t>Exercise a shared feature on web</t>
        </is>
      </c>
      <c r="F188" s="32" t="inlineStr">
        <is>
          <t>-</t>
        </is>
      </c>
      <c r="G188" s="32" t="inlineStr">
        <is>
          <t>Works as specified.</t>
        </is>
      </c>
      <c r="H188" s="32" t="inlineStr"/>
      <c r="I188" s="35" t="inlineStr">
        <is>
          <t>Not Run</t>
        </is>
      </c>
      <c r="J188" s="32" t="inlineStr"/>
    </row>
    <row r="189">
      <c r="A189" s="27" t="inlineStr"/>
      <c r="B189" s="27" t="inlineStr"/>
      <c r="C189" s="27" t="inlineStr"/>
      <c r="D189" s="36" t="n">
        <v>2</v>
      </c>
      <c r="E189" s="27" t="inlineStr">
        <is>
          <t>Exercise the same feature on mobile</t>
        </is>
      </c>
      <c r="F189" s="27" t="inlineStr">
        <is>
          <t>-</t>
        </is>
      </c>
      <c r="G189" s="27" t="inlineStr">
        <is>
          <t>Consistent result and data.</t>
        </is>
      </c>
      <c r="H189" s="27" t="inlineStr"/>
      <c r="I189" s="28" t="inlineStr">
        <is>
          <t>Not Run</t>
        </is>
      </c>
      <c r="J189" s="27" t="inlineStr"/>
    </row>
    <row r="190">
      <c r="A190" s="31" t="inlineStr">
        <is>
          <t>TC-REG-003</t>
        </is>
      </c>
      <c r="B190" s="32" t="inlineStr">
        <is>
          <t>Cross-cutting &amp; Regression</t>
        </is>
      </c>
      <c r="C190" s="33" t="inlineStr">
        <is>
          <t>Key screens load within budget</t>
        </is>
      </c>
      <c r="D190" s="34" t="n">
        <v>1</v>
      </c>
      <c r="E190" s="32" t="inlineStr">
        <is>
          <t>Open the busiest dashboards</t>
        </is>
      </c>
      <c r="F190" s="32" t="inlineStr">
        <is>
          <t>-</t>
        </is>
      </c>
      <c r="G190" s="32" t="inlineStr">
        <is>
          <t>Screens become interactive within the agreed budget; no console errors.</t>
        </is>
      </c>
      <c r="H190" s="32" t="inlineStr"/>
      <c r="I190" s="35" t="inlineStr">
        <is>
          <t>Not Run</t>
        </is>
      </c>
      <c r="J190" s="32" t="inlineStr"/>
    </row>
    <row r="191">
      <c r="A191" s="31" t="inlineStr">
        <is>
          <t>TC-CRM-001</t>
        </is>
      </c>
      <c r="B191" s="32" t="inlineStr">
        <is>
          <t>CRM Campaigns</t>
        </is>
      </c>
      <c r="C191" s="33" t="inlineStr">
        <is>
          <t>View / edit a draft campaign</t>
        </is>
      </c>
      <c r="D191" s="34" t="n">
        <v>1</v>
      </c>
      <c r="E191" s="32" t="inlineStr">
        <is>
          <t>Open the campaign action menu on a Draft row</t>
        </is>
      </c>
      <c r="F191" s="32" t="inlineStr">
        <is>
          <t>-</t>
        </is>
      </c>
      <c r="G191" s="32" t="inlineStr">
        <is>
          <t>A 'View / edit' action is shown at the top.</t>
        </is>
      </c>
      <c r="H191" s="32" t="inlineStr"/>
      <c r="I191" s="35" t="inlineStr">
        <is>
          <t>Not Run</t>
        </is>
      </c>
      <c r="J191" s="32" t="inlineStr"/>
    </row>
    <row r="192">
      <c r="A192" s="27" t="inlineStr"/>
      <c r="B192" s="27" t="inlineStr"/>
      <c r="C192" s="27" t="inlineStr"/>
      <c r="D192" s="36" t="n">
        <v>2</v>
      </c>
      <c r="E192" s="27" t="inlineStr">
        <is>
          <t>Open it, change name/subject/audience/body</t>
        </is>
      </c>
      <c r="F192" s="27" t="inlineStr">
        <is>
          <t>edits</t>
        </is>
      </c>
      <c r="G192" s="27" t="inlineStr">
        <is>
          <t>Fields are editable and pre-filled.</t>
        </is>
      </c>
      <c r="H192" s="27" t="inlineStr"/>
      <c r="I192" s="28" t="inlineStr">
        <is>
          <t>Not Run</t>
        </is>
      </c>
      <c r="J192" s="27" t="inlineStr"/>
    </row>
    <row r="193">
      <c r="A193" s="27" t="inlineStr"/>
      <c r="B193" s="27" t="inlineStr"/>
      <c r="C193" s="27" t="inlineStr"/>
      <c r="D193" s="36" t="n">
        <v>3</v>
      </c>
      <c r="E193" s="27" t="inlineStr">
        <is>
          <t>Save draft</t>
        </is>
      </c>
      <c r="F193" s="27" t="inlineStr">
        <is>
          <t>-</t>
        </is>
      </c>
      <c r="G193" s="27" t="inlineStr">
        <is>
          <t>PATCH /api/crm/campaigns/[id] succeeds; list shows the update.</t>
        </is>
      </c>
      <c r="H193" s="27" t="inlineStr"/>
      <c r="I193" s="28" t="inlineStr">
        <is>
          <t>Not Run</t>
        </is>
      </c>
      <c r="J193" s="27" t="inlineStr"/>
    </row>
    <row r="194">
      <c r="A194" s="31" t="inlineStr">
        <is>
          <t>TC-CRM-002</t>
        </is>
      </c>
      <c r="B194" s="32" t="inlineStr">
        <is>
          <t>CRM Campaigns</t>
        </is>
      </c>
      <c r="C194" s="33" t="inlineStr">
        <is>
          <t>Non-draft campaign is read-only</t>
        </is>
      </c>
      <c r="D194" s="34" t="n">
        <v>1</v>
      </c>
      <c r="E194" s="32" t="inlineStr">
        <is>
          <t>Open 'View / edit' on a non-draft campaign</t>
        </is>
      </c>
      <c r="F194" s="32" t="inlineStr">
        <is>
          <t>-</t>
        </is>
      </c>
      <c r="G194" s="32" t="inlineStr">
        <is>
          <t>Opens in read-only mode with a status note.</t>
        </is>
      </c>
      <c r="H194" s="32" t="inlineStr"/>
      <c r="I194" s="35" t="inlineStr">
        <is>
          <t>Not Run</t>
        </is>
      </c>
      <c r="J194" s="32" t="inlineStr"/>
    </row>
    <row r="195">
      <c r="A195" s="27" t="inlineStr"/>
      <c r="B195" s="27" t="inlineStr"/>
      <c r="C195" s="27" t="inlineStr"/>
      <c r="D195" s="36" t="n">
        <v>2</v>
      </c>
      <c r="E195" s="27" t="inlineStr">
        <is>
          <t>Attempt to PATCH it directly</t>
        </is>
      </c>
      <c r="F195" s="27" t="inlineStr">
        <is>
          <t>non-draft id</t>
        </is>
      </c>
      <c r="G195" s="27" t="inlineStr">
        <is>
          <t>Server rejects with 'Only draft campaigns can be edited' (400).</t>
        </is>
      </c>
      <c r="H195" s="27" t="inlineStr"/>
      <c r="I195" s="28" t="inlineStr">
        <is>
          <t>Not Run</t>
        </is>
      </c>
      <c r="J195" s="27" t="inlineStr"/>
    </row>
    <row r="196">
      <c r="A196" s="31" t="inlineStr">
        <is>
          <t>TC-NAV-001</t>
        </is>
      </c>
      <c r="B196" s="32" t="inlineStr">
        <is>
          <t>In-progress Navigation Guard</t>
        </is>
      </c>
      <c r="C196" s="33" t="inlineStr">
        <is>
          <t>Warn on navigate-away during import</t>
        </is>
      </c>
      <c r="D196" s="34" t="n">
        <v>1</v>
      </c>
      <c r="E196" s="32" t="inlineStr">
        <is>
          <t>Start a large import</t>
        </is>
      </c>
      <c r="F196" s="32" t="inlineStr">
        <is>
          <t>large CSV</t>
        </is>
      </c>
      <c r="G196" s="32" t="inlineStr">
        <is>
          <t>Import runs; control shows 'Importing…'.</t>
        </is>
      </c>
      <c r="H196" s="32" t="inlineStr"/>
      <c r="I196" s="35" t="inlineStr">
        <is>
          <t>Not Run</t>
        </is>
      </c>
      <c r="J196" s="32" t="inlineStr"/>
    </row>
    <row r="197">
      <c r="A197" s="27" t="inlineStr"/>
      <c r="B197" s="27" t="inlineStr"/>
      <c r="C197" s="27" t="inlineStr"/>
      <c r="D197" s="36" t="n">
        <v>2</v>
      </c>
      <c r="E197" s="27" t="inlineStr">
        <is>
          <t>Attempt to refresh / close the tab</t>
        </is>
      </c>
      <c r="F197" s="27" t="inlineStr">
        <is>
          <t>-</t>
        </is>
      </c>
      <c r="G197" s="27" t="inlineStr">
        <is>
          <t>Browser 'Leave site?' prompt appears while it runs.</t>
        </is>
      </c>
      <c r="H197" s="27" t="inlineStr"/>
      <c r="I197" s="28" t="inlineStr">
        <is>
          <t>Not Run</t>
        </is>
      </c>
      <c r="J197" s="27" t="inlineStr"/>
    </row>
    <row r="198">
      <c r="A198" s="27" t="inlineStr"/>
      <c r="B198" s="27" t="inlineStr"/>
      <c r="C198" s="27" t="inlineStr"/>
      <c r="D198" s="36" t="n">
        <v>3</v>
      </c>
      <c r="E198" s="27" t="inlineStr">
        <is>
          <t>Let it finish, then refresh</t>
        </is>
      </c>
      <c r="F198" s="27" t="inlineStr">
        <is>
          <t>-</t>
        </is>
      </c>
      <c r="G198" s="27" t="inlineStr">
        <is>
          <t>No warning once the operation completes.</t>
        </is>
      </c>
      <c r="H198" s="27" t="inlineStr"/>
      <c r="I198" s="28" t="inlineStr">
        <is>
          <t>Not Run</t>
        </is>
      </c>
      <c r="J198" s="27" t="inlineStr"/>
    </row>
    <row r="199">
      <c r="A199" s="31" t="inlineStr">
        <is>
          <t>TC-NAV-002</t>
        </is>
      </c>
      <c r="B199" s="32" t="inlineStr">
        <is>
          <t>In-progress Navigation Guard</t>
        </is>
      </c>
      <c r="C199" s="33" t="inlineStr">
        <is>
          <t>Warn on navigate-away during download</t>
        </is>
      </c>
      <c r="D199" s="34" t="n">
        <v>1</v>
      </c>
      <c r="E199" s="32" t="inlineStr">
        <is>
          <t>Trigger a client-side export</t>
        </is>
      </c>
      <c r="F199" s="32" t="inlineStr">
        <is>
          <t>-</t>
        </is>
      </c>
      <c r="G199" s="32" t="inlineStr">
        <is>
          <t>Guard active while the download records/streams.</t>
        </is>
      </c>
      <c r="H199" s="32" t="inlineStr"/>
      <c r="I199" s="35" t="inlineStr">
        <is>
          <t>Not Run</t>
        </is>
      </c>
      <c r="J199" s="32" t="inlineStr"/>
    </row>
    <row r="200">
      <c r="A200" s="27" t="inlineStr"/>
      <c r="B200" s="27" t="inlineStr"/>
      <c r="C200" s="27" t="inlineStr"/>
      <c r="D200" s="36" t="n">
        <v>2</v>
      </c>
      <c r="E200" s="27" t="inlineStr">
        <is>
          <t>Attempt to leave mid-download</t>
        </is>
      </c>
      <c r="F200" s="27" t="inlineStr">
        <is>
          <t>-</t>
        </is>
      </c>
      <c r="G200" s="27" t="inlineStr">
        <is>
          <t>Warning shown; clears on completion.</t>
        </is>
      </c>
      <c r="H200" s="27" t="inlineStr"/>
      <c r="I200" s="28" t="inlineStr">
        <is>
          <t>Not Run</t>
        </is>
      </c>
      <c r="J200" s="27" t="inlineStr"/>
    </row>
    <row r="201">
      <c r="A201" s="31" t="inlineStr">
        <is>
          <t>TC-IMP-001</t>
        </is>
      </c>
      <c r="B201" s="32" t="inlineStr">
        <is>
          <t>Data Import (CSV)</t>
        </is>
      </c>
      <c r="C201" s="33" t="inlineStr">
        <is>
          <t>Large attendance import completes quickly</t>
        </is>
      </c>
      <c r="D201" s="34" t="n">
        <v>1</v>
      </c>
      <c r="E201" s="32" t="inlineStr">
        <is>
          <t>Import a large attendance CSV</t>
        </is>
      </c>
      <c r="F201" s="32" t="inlineStr">
        <is>
          <t>large CSV</t>
        </is>
      </c>
      <c r="G201" s="32" t="inlineStr">
        <is>
          <t>Engine resolves pupils/marks in bulk (createMany / grouped updateMany).</t>
        </is>
      </c>
      <c r="H201" s="32" t="inlineStr"/>
      <c r="I201" s="35" t="inlineStr">
        <is>
          <t>Not Run</t>
        </is>
      </c>
      <c r="J201" s="32" t="inlineStr"/>
    </row>
    <row r="202">
      <c r="A202" s="27" t="inlineStr"/>
      <c r="B202" s="27" t="inlineStr"/>
      <c r="C202" s="27" t="inlineStr"/>
      <c r="D202" s="36" t="n">
        <v>2</v>
      </c>
      <c r="E202" s="27" t="inlineStr">
        <is>
          <t>Observe completion</t>
        </is>
      </c>
      <c r="F202" s="27" t="inlineStr">
        <is>
          <t>-</t>
        </is>
      </c>
      <c r="G202" s="27" t="inlineStr">
        <is>
          <t>Finishes in seconds without a serverless timeout; result summary shown.</t>
        </is>
      </c>
      <c r="H202" s="27" t="inlineStr"/>
      <c r="I202" s="28" t="inlineStr">
        <is>
          <t>Not Run</t>
        </is>
      </c>
      <c r="J202" s="27" t="inlineStr"/>
    </row>
    <row r="203">
      <c r="A203" s="31" t="inlineStr">
        <is>
          <t>TC-IMP-002</t>
        </is>
      </c>
      <c r="B203" s="32" t="inlineStr">
        <is>
          <t>Data Import (CSV)</t>
        </is>
      </c>
      <c r="C203" s="33" t="inlineStr">
        <is>
          <t>Excel (.xlsx) upload is guided to CSV</t>
        </is>
      </c>
      <c r="D203" s="34" t="n">
        <v>1</v>
      </c>
      <c r="E203" s="32" t="inlineStr">
        <is>
          <t>Choose an .xlsx file in the importer</t>
        </is>
      </c>
      <c r="F203" s="32" t="inlineStr">
        <is>
          <t>file.xlsx</t>
        </is>
      </c>
      <c r="G203" s="32" t="inlineStr">
        <is>
          <t>Message: export to CSV UTF-8 and re-upload.</t>
        </is>
      </c>
      <c r="H203" s="32" t="inlineStr"/>
      <c r="I203" s="35" t="inlineStr">
        <is>
          <t>Not Run</t>
        </is>
      </c>
      <c r="J203" s="32" t="inlineStr"/>
    </row>
    <row r="204">
      <c r="A204" s="31" t="inlineStr">
        <is>
          <t>TC-IMP-003</t>
        </is>
      </c>
      <c r="B204" s="32" t="inlineStr">
        <is>
          <t>Data Import (CSV)</t>
        </is>
      </c>
      <c r="C204" s="33" t="inlineStr">
        <is>
          <t>Import clubs &amp; activities</t>
        </is>
      </c>
      <c r="D204" s="34" t="n">
        <v>1</v>
      </c>
      <c r="E204" s="32" t="inlineStr">
        <is>
          <t>Download the clubs template, fill and upload</t>
        </is>
      </c>
      <c r="F204" s="32" t="inlineStr">
        <is>
          <t>clubs CSV</t>
        </is>
      </c>
      <c r="G204" s="32" t="inlineStr">
        <is>
          <t>Rows validated; clubs upserted; audit recorded.</t>
        </is>
      </c>
      <c r="H204" s="32" t="inlineStr"/>
      <c r="I204" s="35" t="inlineStr">
        <is>
          <t>Not Run</t>
        </is>
      </c>
      <c r="J204" s="32" t="inlineStr"/>
    </row>
    <row r="205">
      <c r="A205" s="31" t="inlineStr">
        <is>
          <t>TC-IMP-004</t>
        </is>
      </c>
      <c r="B205" s="32" t="inlineStr">
        <is>
          <t>Data Import (CSV)</t>
        </is>
      </c>
      <c r="C205" s="33" t="inlineStr">
        <is>
          <t>Import class timetables</t>
        </is>
      </c>
      <c r="D205" s="34" t="n">
        <v>1</v>
      </c>
      <c r="E205" s="32" t="inlineStr">
        <is>
          <t>Upload a timetable CSV</t>
        </is>
      </c>
      <c r="F205" s="32" t="inlineStr">
        <is>
          <t>timetable CSV</t>
        </is>
      </c>
      <c r="G205" s="32" t="inlineStr">
        <is>
          <t>Slots upserted by day+time+class+subject; unknown teacher flagged, slot imported unassigned.</t>
        </is>
      </c>
      <c r="H205" s="32" t="inlineStr"/>
      <c r="I205" s="35" t="inlineStr">
        <is>
          <t>Not Run</t>
        </is>
      </c>
      <c r="J205" s="32" t="inlineStr"/>
    </row>
    <row r="206">
      <c r="A206" s="31" t="inlineStr">
        <is>
          <t>TC-IMP-005</t>
        </is>
      </c>
      <c r="B206" s="32" t="inlineStr">
        <is>
          <t>Data Import (CSV)</t>
        </is>
      </c>
      <c r="C206" s="33" t="inlineStr">
        <is>
          <t>Import behaviour records</t>
        </is>
      </c>
      <c r="D206" s="34" t="n">
        <v>1</v>
      </c>
      <c r="E206" s="32" t="inlineStr">
        <is>
          <t>Upload a behaviour CSV</t>
        </is>
      </c>
      <c r="F206" s="32" t="inlineStr">
        <is>
          <t>behaviour CSV</t>
        </is>
      </c>
      <c r="G206" s="32" t="inlineStr">
        <is>
          <t>Records created (type/points/date); unknown refs reported.</t>
        </is>
      </c>
      <c r="H206" s="32" t="inlineStr"/>
      <c r="I206" s="35" t="inlineStr">
        <is>
          <t>Not Run</t>
        </is>
      </c>
      <c r="J206" s="32" t="inlineStr"/>
    </row>
    <row r="207">
      <c r="A207" s="31" t="inlineStr">
        <is>
          <t>TC-IMP-006</t>
        </is>
      </c>
      <c r="B207" s="32" t="inlineStr">
        <is>
          <t>Data Import (CSV)</t>
        </is>
      </c>
      <c r="C207" s="33" t="inlineStr">
        <is>
          <t>Import knowledge base documents</t>
        </is>
      </c>
      <c r="D207" s="34" t="n">
        <v>1</v>
      </c>
      <c r="E207" s="32" t="inlineStr">
        <is>
          <t>Upload a knowledge CSV</t>
        </is>
      </c>
      <c r="F207" s="32" t="inlineStr">
        <is>
          <t>knowledge CSV</t>
        </is>
      </c>
      <c r="G207" s="32" t="inlineStr">
        <is>
          <t>Docs upserted; drafts by default; publish makes them searchable.</t>
        </is>
      </c>
      <c r="H207" s="32" t="inlineStr"/>
      <c r="I207" s="35" t="inlineStr">
        <is>
          <t>Not Run</t>
        </is>
      </c>
      <c r="J207" s="32" t="inlineStr"/>
    </row>
    <row r="208">
      <c r="A208" s="31" t="inlineStr">
        <is>
          <t>TC-IMP-007</t>
        </is>
      </c>
      <c r="B208" s="32" t="inlineStr">
        <is>
          <t>Data Import (CSV)</t>
        </is>
      </c>
      <c r="C208" s="33" t="inlineStr">
        <is>
          <t>Download templates for new modules</t>
        </is>
      </c>
      <c r="D208" s="34" t="n">
        <v>1</v>
      </c>
      <c r="E208" s="32" t="inlineStr">
        <is>
          <t>Open Download template for clubs/timetables/behaviour/knowledge</t>
        </is>
      </c>
      <c r="F208" s="32" t="inlineStr">
        <is>
          <t>-</t>
        </is>
      </c>
      <c r="G208" s="32" t="inlineStr">
        <is>
          <t>A correctly-headed CSV downloads for each.</t>
        </is>
      </c>
      <c r="H208" s="32" t="inlineStr"/>
      <c r="I208" s="35" t="inlineStr">
        <is>
          <t>Not Run</t>
        </is>
      </c>
      <c r="J208" s="32" t="inlineStr"/>
    </row>
    <row r="209">
      <c r="A209" s="31" t="inlineStr">
        <is>
          <t>TC-IMP-008</t>
        </is>
      </c>
      <c r="B209" s="32" t="inlineStr">
        <is>
          <t>Data Import (CSV)</t>
        </is>
      </c>
      <c r="C209" s="33" t="inlineStr">
        <is>
          <t>Row-level validation &amp; error report</t>
        </is>
      </c>
      <c r="D209" s="34" t="n">
        <v>1</v>
      </c>
      <c r="E209" s="32" t="inlineStr">
        <is>
          <t>Upload a file with an unknown pupil reference</t>
        </is>
      </c>
      <c r="F209" s="32" t="inlineStr">
        <is>
          <t>mixed CSV</t>
        </is>
      </c>
      <c r="G209" s="32" t="inlineStr">
        <is>
          <t>Valid rows imported; the bad row is reported 'student not found'.</t>
        </is>
      </c>
      <c r="H209" s="32" t="inlineStr"/>
      <c r="I209" s="35" t="inlineStr">
        <is>
          <t>Not Run</t>
        </is>
      </c>
      <c r="J209" s="32" t="inlineStr"/>
    </row>
    <row r="210">
      <c r="A210" s="31" t="inlineStr">
        <is>
          <t>TC-IMP-009</t>
        </is>
      </c>
      <c r="B210" s="32" t="inlineStr">
        <is>
          <t>Data Import (CSV)</t>
        </is>
      </c>
      <c r="C210" s="33" t="inlineStr">
        <is>
          <t>Teacher import limited to permitted types</t>
        </is>
      </c>
      <c r="D210" s="34" t="n">
        <v>1</v>
      </c>
      <c r="E210" s="32" t="inlineStr">
        <is>
          <t>As a permitted teacher, import attendance</t>
        </is>
      </c>
      <c r="F210" s="32" t="inlineStr">
        <is>
          <t>attendance CSV</t>
        </is>
      </c>
      <c r="G210" s="32" t="inlineStr">
        <is>
          <t>Allowed.</t>
        </is>
      </c>
      <c r="H210" s="32" t="inlineStr"/>
      <c r="I210" s="35" t="inlineStr">
        <is>
          <t>Not Run</t>
        </is>
      </c>
      <c r="J210" s="32" t="inlineStr"/>
    </row>
    <row r="211">
      <c r="A211" s="27" t="inlineStr"/>
      <c r="B211" s="27" t="inlineStr"/>
      <c r="C211" s="27" t="inlineStr"/>
      <c r="D211" s="36" t="n">
        <v>2</v>
      </c>
      <c r="E211" s="27" t="inlineStr">
        <is>
          <t>Attempt to import 'students'</t>
        </is>
      </c>
      <c r="F211" s="27" t="inlineStr">
        <is>
          <t>students CSV</t>
        </is>
      </c>
      <c r="G211" s="27" t="inlineStr">
        <is>
          <t>Rejected 403: not permitted to import that type.</t>
        </is>
      </c>
      <c r="H211" s="27" t="inlineStr"/>
      <c r="I211" s="28" t="inlineStr">
        <is>
          <t>Not Run</t>
        </is>
      </c>
      <c r="J211" s="27" t="inlineStr"/>
    </row>
    <row r="212">
      <c r="A212" s="31" t="inlineStr">
        <is>
          <t>TC-IMP-010</t>
        </is>
      </c>
      <c r="B212" s="32" t="inlineStr">
        <is>
          <t>Data Import (CSV)</t>
        </is>
      </c>
      <c r="C212" s="33" t="inlineStr">
        <is>
          <t>Teacher import rejects out-of-scope pupils</t>
        </is>
      </c>
      <c r="D212" s="34" t="n">
        <v>1</v>
      </c>
      <c r="E212" s="32" t="inlineStr">
        <is>
          <t>Import a file mixing own and other pupils</t>
        </is>
      </c>
      <c r="F212" s="32" t="inlineStr">
        <is>
          <t>mixed CSV</t>
        </is>
      </c>
      <c r="G212" s="32" t="inlineStr">
        <is>
          <t>Own pupils imported; others rejected '… is not one of your pupils'.</t>
        </is>
      </c>
      <c r="H212" s="32" t="inlineStr"/>
      <c r="I212" s="35" t="inlineStr">
        <is>
          <t>Not Run</t>
        </is>
      </c>
      <c r="J212" s="32" t="inlineStr"/>
    </row>
    <row r="213">
      <c r="A213" s="31" t="inlineStr">
        <is>
          <t>TC-IMP-011</t>
        </is>
      </c>
      <c r="B213" s="32" t="inlineStr">
        <is>
          <t>Data Import (CSV)</t>
        </is>
      </c>
      <c r="C213" s="33" t="inlineStr">
        <is>
          <t>Teacher import history is scoped</t>
        </is>
      </c>
      <c r="D213" s="34" t="n">
        <v>1</v>
      </c>
      <c r="E213" s="32" t="inlineStr">
        <is>
          <t>Open the teacher import history</t>
        </is>
      </c>
      <c r="F213" s="32" t="inlineStr">
        <is>
          <t>-</t>
        </is>
      </c>
      <c r="G213" s="32" t="inlineStr">
        <is>
          <t>Only the teacher's own batches are listed, not the school's.</t>
        </is>
      </c>
      <c r="H213" s="32" t="inlineStr"/>
      <c r="I213" s="35" t="inlineStr">
        <is>
          <t>Not Run</t>
        </is>
      </c>
      <c r="J213" s="32" t="inlineStr"/>
    </row>
    <row r="214">
      <c r="A214" s="31" t="inlineStr">
        <is>
          <t>TC-IMP-012</t>
        </is>
      </c>
      <c r="B214" s="32" t="inlineStr">
        <is>
          <t>Data Import (CSV)</t>
        </is>
      </c>
      <c r="C214" s="33" t="inlineStr">
        <is>
          <t>Import tab visibility gated by permission</t>
        </is>
      </c>
      <c r="D214" s="34" t="n">
        <v>1</v>
      </c>
      <c r="E214" s="32" t="inlineStr">
        <is>
          <t>Sign in as a teacher WITHOUT import_data</t>
        </is>
      </c>
      <c r="F214" s="32" t="inlineStr">
        <is>
          <t>-</t>
        </is>
      </c>
      <c r="G214" s="32" t="inlineStr">
        <is>
          <t>No 'Import data' tab (endpoint probe returns 403).</t>
        </is>
      </c>
      <c r="H214" s="32" t="inlineStr"/>
      <c r="I214" s="35" t="inlineStr">
        <is>
          <t>Not Run</t>
        </is>
      </c>
      <c r="J214" s="32" t="inlineStr"/>
    </row>
    <row r="215">
      <c r="A215" s="27" t="inlineStr"/>
      <c r="B215" s="27" t="inlineStr"/>
      <c r="C215" s="27" t="inlineStr"/>
      <c r="D215" s="36" t="n">
        <v>2</v>
      </c>
      <c r="E215" s="27" t="inlineStr">
        <is>
          <t>Sign in as a teacher WITH import_data</t>
        </is>
      </c>
      <c r="F215" s="27" t="inlineStr">
        <is>
          <t>-</t>
        </is>
      </c>
      <c r="G215" s="27" t="inlineStr">
        <is>
          <t>'Import data' tab appears under Teaching.</t>
        </is>
      </c>
      <c r="H215" s="27" t="inlineStr"/>
      <c r="I215" s="28" t="inlineStr">
        <is>
          <t>Not Run</t>
        </is>
      </c>
      <c r="J215" s="27" t="inlineStr"/>
    </row>
    <row r="216">
      <c r="A216" s="31" t="inlineStr">
        <is>
          <t>TC-ATT-001</t>
        </is>
      </c>
      <c r="B216" s="32" t="inlineStr">
        <is>
          <t>Attendance</t>
        </is>
      </c>
      <c r="C216" s="33" t="inlineStr">
        <is>
          <t>Imported attendance is visible</t>
        </is>
      </c>
      <c r="D216" s="34" t="n">
        <v>1</v>
      </c>
      <c r="E216" s="32" t="inlineStr">
        <is>
          <t>Import attendance for a specific date</t>
        </is>
      </c>
      <c r="F216" s="32" t="inlineStr">
        <is>
          <t>import</t>
        </is>
      </c>
      <c r="G216" s="32" t="inlineStr">
        <is>
          <t>Marks stored.</t>
        </is>
      </c>
      <c r="H216" s="32" t="inlineStr"/>
      <c r="I216" s="35" t="inlineStr">
        <is>
          <t>Not Run</t>
        </is>
      </c>
      <c r="J216" s="32" t="inlineStr"/>
    </row>
    <row r="217">
      <c r="A217" s="27" t="inlineStr"/>
      <c r="B217" s="27" t="inlineStr"/>
      <c r="C217" s="27" t="inlineStr"/>
      <c r="D217" s="36" t="n">
        <v>2</v>
      </c>
      <c r="E217" s="27" t="inlineStr">
        <is>
          <t>Set the filter to that date/range</t>
        </is>
      </c>
      <c r="F217" s="27" t="inlineStr">
        <is>
          <t>-</t>
        </is>
      </c>
      <c r="G217" s="27" t="inlineStr">
        <is>
          <t>Imported marks appear (previously hidden by single-date view).</t>
        </is>
      </c>
      <c r="H217" s="27" t="inlineStr"/>
      <c r="I217" s="28" t="inlineStr">
        <is>
          <t>Not Run</t>
        </is>
      </c>
      <c r="J217" s="27" t="inlineStr"/>
    </row>
    <row r="218">
      <c r="A218" s="31" t="inlineStr">
        <is>
          <t>TC-ATT-002</t>
        </is>
      </c>
      <c r="B218" s="32" t="inlineStr">
        <is>
          <t>Attendance</t>
        </is>
      </c>
      <c r="C218" s="33" t="inlineStr">
        <is>
          <t>Filter by day/week/month/term/year</t>
        </is>
      </c>
      <c r="D218" s="34" t="n">
        <v>1</v>
      </c>
      <c r="E218" s="32" t="inlineStr">
        <is>
          <t>Switch between Day/Week/Month/Term/Year</t>
        </is>
      </c>
      <c r="F218" s="32" t="inlineStr">
        <is>
          <t>-</t>
        </is>
      </c>
      <c r="G218" s="32" t="inlineStr">
        <is>
          <t>The shown window + marks update; ‹ › navigate periods.</t>
        </is>
      </c>
      <c r="H218" s="32" t="inlineStr"/>
      <c r="I218" s="35" t="inlineStr">
        <is>
          <t>Not Run</t>
        </is>
      </c>
      <c r="J218" s="32" t="inlineStr"/>
    </row>
    <row r="219">
      <c r="A219" s="31" t="inlineStr">
        <is>
          <t>TC-ATT-003</t>
        </is>
      </c>
      <c r="B219" s="32" t="inlineStr">
        <is>
          <t>Attendance</t>
        </is>
      </c>
      <c r="C219" s="33" t="inlineStr">
        <is>
          <t>Column sorting</t>
        </is>
      </c>
      <c r="D219" s="34" t="n">
        <v>1</v>
      </c>
      <c r="E219" s="32" t="inlineStr">
        <is>
          <t>Click Date / Pupil / Class / Year / Session / Status headers</t>
        </is>
      </c>
      <c r="F219" s="32" t="inlineStr">
        <is>
          <t>-</t>
        </is>
      </c>
      <c r="G219" s="32" t="inlineStr">
        <is>
          <t>Rows re-sort; arrow shows direction.</t>
        </is>
      </c>
      <c r="H219" s="32" t="inlineStr"/>
      <c r="I219" s="35" t="inlineStr">
        <is>
          <t>Not Run</t>
        </is>
      </c>
      <c r="J219" s="32" t="inlineStr"/>
    </row>
    <row r="220">
      <c r="A220" s="31" t="inlineStr">
        <is>
          <t>TC-ATT-004</t>
        </is>
      </c>
      <c r="B220" s="32" t="inlineStr">
        <is>
          <t>Attendance</t>
        </is>
      </c>
      <c r="C220" s="33" t="inlineStr">
        <is>
          <t>Status filter and search</t>
        </is>
      </c>
      <c r="D220" s="34" t="n">
        <v>1</v>
      </c>
      <c r="E220" s="32" t="inlineStr">
        <is>
          <t>Select a status and type a search term</t>
        </is>
      </c>
      <c r="F220" s="32" t="inlineStr">
        <is>
          <t>filters</t>
        </is>
      </c>
      <c r="G220" s="32" t="inlineStr">
        <is>
          <t>List narrows to matching rows; count shown.</t>
        </is>
      </c>
      <c r="H220" s="32" t="inlineStr"/>
      <c r="I220" s="35" t="inlineStr">
        <is>
          <t>Not Run</t>
        </is>
      </c>
      <c r="J220" s="32" t="inlineStr"/>
    </row>
    <row r="221">
      <c r="A221" s="31" t="inlineStr">
        <is>
          <t>TC-ATT-005</t>
        </is>
      </c>
      <c r="B221" s="32" t="inlineStr">
        <is>
          <t>Attendance</t>
        </is>
      </c>
      <c r="C221" s="33" t="inlineStr">
        <is>
          <t>Manual mark with date + pupil context</t>
        </is>
      </c>
      <c r="D221" s="34" t="n">
        <v>1</v>
      </c>
      <c r="E221" s="32" t="inlineStr">
        <is>
          <t>Pick a pupil in the mark form</t>
        </is>
      </c>
      <c r="F221" s="32" t="inlineStr">
        <is>
          <t>-</t>
        </is>
      </c>
      <c r="G221" s="32" t="inlineStr">
        <is>
          <t>Year, class and (where available) class teacher are shown.</t>
        </is>
      </c>
      <c r="H221" s="32" t="inlineStr"/>
      <c r="I221" s="35" t="inlineStr">
        <is>
          <t>Not Run</t>
        </is>
      </c>
      <c r="J221" s="32" t="inlineStr"/>
    </row>
    <row r="222">
      <c r="A222" s="27" t="inlineStr"/>
      <c r="B222" s="27" t="inlineStr"/>
      <c r="C222" s="27" t="inlineStr"/>
      <c r="D222" s="36" t="n">
        <v>2</v>
      </c>
      <c r="E222" s="27" t="inlineStr">
        <is>
          <t>Choose a date, session and status, save</t>
        </is>
      </c>
      <c r="F222" s="27" t="inlineStr">
        <is>
          <t>mark</t>
        </is>
      </c>
      <c r="G222" s="27" t="inlineStr">
        <is>
          <t>Record inserted for the chosen date; appears in the table.</t>
        </is>
      </c>
      <c r="H222" s="27" t="inlineStr"/>
      <c r="I222" s="28" t="inlineStr">
        <is>
          <t>Not Run</t>
        </is>
      </c>
      <c r="J222" s="27" t="inlineStr"/>
    </row>
    <row r="223">
      <c r="A223" s="31" t="inlineStr">
        <is>
          <t>TC-ANL-001</t>
        </is>
      </c>
      <c r="B223" s="32" t="inlineStr">
        <is>
          <t>Super-Admin School Analytics</t>
        </is>
      </c>
      <c r="C223" s="33" t="inlineStr">
        <is>
          <t>Per-school analytics census</t>
        </is>
      </c>
      <c r="D223" s="34" t="n">
        <v>1</v>
      </c>
      <c r="E223" s="32" t="inlineStr">
        <is>
          <t>Open School analytics and pick a school</t>
        </is>
      </c>
      <c r="F223" s="32" t="inlineStr">
        <is>
          <t>-</t>
        </is>
      </c>
      <c r="G223" s="32" t="inlineStr">
        <is>
          <t>Overview KPIs + users-by-role + last-logins render.</t>
        </is>
      </c>
      <c r="H223" s="32" t="inlineStr"/>
      <c r="I223" s="35" t="inlineStr">
        <is>
          <t>Not Run</t>
        </is>
      </c>
      <c r="J223" s="32" t="inlineStr"/>
    </row>
    <row r="224">
      <c r="A224" s="31" t="inlineStr">
        <is>
          <t>TC-ANL-002</t>
        </is>
      </c>
      <c r="B224" s="32" t="inlineStr">
        <is>
          <t>Super-Admin School Analytics</t>
        </is>
      </c>
      <c r="C224" s="33" t="inlineStr">
        <is>
          <t>School and period filters</t>
        </is>
      </c>
      <c r="D224" s="34" t="n">
        <v>1</v>
      </c>
      <c r="E224" s="32" t="inlineStr">
        <is>
          <t>Change the school and the period</t>
        </is>
      </c>
      <c r="F224" s="32" t="inlineStr">
        <is>
          <t>-</t>
        </is>
      </c>
      <c r="G224" s="32" t="inlineStr">
        <is>
          <t>All metrics recompute for the selection; choice persists across refresh.</t>
        </is>
      </c>
      <c r="H224" s="32" t="inlineStr"/>
      <c r="I224" s="35" t="inlineStr">
        <is>
          <t>Not Run</t>
        </is>
      </c>
      <c r="J224" s="32" t="inlineStr"/>
    </row>
    <row r="225">
      <c r="A225" s="31" t="inlineStr">
        <is>
          <t>TC-ANL-003</t>
        </is>
      </c>
      <c r="B225" s="32" t="inlineStr">
        <is>
          <t>Super-Admin School Analytics</t>
        </is>
      </c>
      <c r="C225" s="33" t="inlineStr">
        <is>
          <t>Feature usage and login trend</t>
        </is>
      </c>
      <c r="D225" s="34" t="n">
        <v>1</v>
      </c>
      <c r="E225" s="32" t="inlineStr">
        <is>
          <t>Review the Overview</t>
        </is>
      </c>
      <c r="F225" s="32" t="inlineStr">
        <is>
          <t>-</t>
        </is>
      </c>
      <c r="G225" s="32" t="inlineStr">
        <is>
          <t>Top features table + login bar-trend display for the period.</t>
        </is>
      </c>
      <c r="H225" s="32" t="inlineStr"/>
      <c r="I225" s="35" t="inlineStr">
        <is>
          <t>Not Run</t>
        </is>
      </c>
      <c r="J225" s="32" t="inlineStr"/>
    </row>
    <row r="226">
      <c r="A226" s="31" t="inlineStr">
        <is>
          <t>TC-ANL-004</t>
        </is>
      </c>
      <c r="B226" s="32" t="inlineStr">
        <is>
          <t>Super-Admin School Analytics</t>
        </is>
      </c>
      <c r="C226" s="33" t="inlineStr">
        <is>
          <t>Analytics CSV export (governed)</t>
        </is>
      </c>
      <c r="D226" s="34" t="n">
        <v>1</v>
      </c>
      <c r="E226" s="32" t="inlineStr">
        <is>
          <t>Click Export (CSV)</t>
        </is>
      </c>
      <c r="F226" s="32" t="inlineStr">
        <is>
          <t>-</t>
        </is>
      </c>
      <c r="G226" s="32" t="inlineStr">
        <is>
          <t>CSV of the current view downloads; DownloadAudit recorded; opens in Excel.</t>
        </is>
      </c>
      <c r="H226" s="32" t="inlineStr"/>
      <c r="I226" s="35" t="inlineStr">
        <is>
          <t>Not Run</t>
        </is>
      </c>
      <c r="J226" s="32" t="inlineStr"/>
    </row>
    <row r="227">
      <c r="A227" s="31" t="inlineStr">
        <is>
          <t>TC-MSG-011</t>
        </is>
      </c>
      <c r="B227" s="32" t="inlineStr">
        <is>
          <t>Messaging</t>
        </is>
      </c>
      <c r="C227" s="33" t="inlineStr">
        <is>
          <t>Paste strips formatting</t>
        </is>
      </c>
      <c r="D227" s="34" t="n">
        <v>1</v>
      </c>
      <c r="E227" s="32" t="inlineStr">
        <is>
          <t>Copy rich text from Word/a web page</t>
        </is>
      </c>
      <c r="F227" s="32" t="inlineStr">
        <is>
          <t>rich clipboard</t>
        </is>
      </c>
      <c r="G227" s="32" t="inlineStr">
        <is>
          <t>-</t>
        </is>
      </c>
      <c r="H227" s="32" t="inlineStr"/>
      <c r="I227" s="35" t="inlineStr">
        <is>
          <t>Not Run</t>
        </is>
      </c>
      <c r="J227" s="32" t="inlineStr"/>
    </row>
    <row r="228">
      <c r="A228" s="27" t="inlineStr"/>
      <c r="B228" s="27" t="inlineStr"/>
      <c r="C228" s="27" t="inlineStr"/>
      <c r="D228" s="36" t="n">
        <v>2</v>
      </c>
      <c r="E228" s="27" t="inlineStr">
        <is>
          <t>Paste into the composer</t>
        </is>
      </c>
      <c r="F228" s="27" t="inlineStr">
        <is>
          <t>-</t>
        </is>
      </c>
      <c r="G228" s="27" t="inlineStr">
        <is>
          <t>Only clean text is inserted; message renders normally.</t>
        </is>
      </c>
      <c r="H228" s="27" t="inlineStr"/>
      <c r="I228" s="28" t="inlineStr">
        <is>
          <t>Not Run</t>
        </is>
      </c>
      <c r="J228" s="27" t="inlineStr"/>
    </row>
    <row r="229">
      <c r="A229" s="31" t="inlineStr">
        <is>
          <t>TC-MSG-012</t>
        </is>
      </c>
      <c r="B229" s="32" t="inlineStr">
        <is>
          <t>Messaging</t>
        </is>
      </c>
      <c r="C229" s="33" t="inlineStr">
        <is>
          <t>Formatting controls + placeholder</t>
        </is>
      </c>
      <c r="D229" s="34" t="n">
        <v>1</v>
      </c>
      <c r="E229" s="32" t="inlineStr">
        <is>
          <t>Apply bold/italic/list/link then clear the box</t>
        </is>
      </c>
      <c r="F229" s="32" t="inlineStr">
        <is>
          <t>-</t>
        </is>
      </c>
      <c r="G229" s="32" t="inlineStr">
        <is>
          <t>Formatting applies; emptying the box restores the placeholder.</t>
        </is>
      </c>
      <c r="H229" s="32" t="inlineStr"/>
      <c r="I229" s="35" t="inlineStr">
        <is>
          <t>Not Run</t>
        </is>
      </c>
      <c r="J229" s="32" t="inlineStr"/>
    </row>
    <row r="230">
      <c r="A230" s="31" t="inlineStr">
        <is>
          <t>TC-MSG-013</t>
        </is>
      </c>
      <c r="B230" s="32" t="inlineStr">
        <is>
          <t>Messaging</t>
        </is>
      </c>
      <c r="C230" s="33" t="inlineStr">
        <is>
          <t>Regression: mentions/reactions/threads/sanitisation</t>
        </is>
      </c>
      <c r="D230" s="34" t="n">
        <v>1</v>
      </c>
      <c r="E230" s="32" t="inlineStr">
        <is>
          <t>Send messages with @mentions, replies and attachments</t>
        </is>
      </c>
      <c r="F230" s="32" t="inlineStr">
        <is>
          <t>-</t>
        </is>
      </c>
      <c r="G230" s="32" t="inlineStr">
        <is>
          <t>All behave as before.</t>
        </is>
      </c>
      <c r="H230" s="32" t="inlineStr"/>
      <c r="I230" s="35" t="inlineStr">
        <is>
          <t>Not Run</t>
        </is>
      </c>
      <c r="J230" s="32" t="inlineStr"/>
    </row>
    <row r="231">
      <c r="A231" s="27" t="inlineStr"/>
      <c r="B231" s="27" t="inlineStr"/>
      <c r="C231" s="27" t="inlineStr"/>
      <c r="D231" s="36" t="n">
        <v>2</v>
      </c>
      <c r="E231" s="27" t="inlineStr">
        <is>
          <t>Send a script payload</t>
        </is>
      </c>
      <c r="F231" s="27" t="inlineStr">
        <is>
          <t>&lt;script&gt;…</t>
        </is>
      </c>
      <c r="G231" s="27" t="inlineStr">
        <is>
          <t>Sanitised server-side; no script executes.</t>
        </is>
      </c>
      <c r="H231" s="27" t="inlineStr"/>
      <c r="I231" s="28" t="inlineStr">
        <is>
          <t>Not Run</t>
        </is>
      </c>
      <c r="J231" s="27" t="inlineStr"/>
    </row>
  </sheetData>
  <autoFilter ref="A1:J231"/>
  <dataValidations count="1">
    <dataValidation sqref="I2:I231" showDropDown="0" showInputMessage="0" showErrorMessage="0" allowBlank="1" type="list">
      <formula1>"Pass,Fail,Blocked,In Progress,Not Run"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42" customWidth="1" min="3" max="3"/>
    <col width="34" customWidth="1" min="4" max="4"/>
    <col width="9" customWidth="1" min="5" max="5"/>
  </cols>
  <sheetData>
    <row r="1">
      <c r="A1" s="37" t="inlineStr">
        <is>
          <t>Case ID</t>
        </is>
      </c>
      <c r="B1" s="37" t="inlineStr">
        <is>
          <t>Module</t>
        </is>
      </c>
      <c r="C1" s="37" t="inlineStr">
        <is>
          <t>Title</t>
        </is>
      </c>
      <c r="D1" s="37" t="inlineStr">
        <is>
          <t>Requirement / Feature Ref</t>
        </is>
      </c>
      <c r="E1" s="37" t="inlineStr">
        <is>
          <t>Priority</t>
        </is>
      </c>
    </row>
    <row r="2">
      <c r="A2" s="22" t="inlineStr">
        <is>
          <t>TC-AUTH-001</t>
        </is>
      </c>
      <c r="B2" s="23" t="inlineStr">
        <is>
          <t>Authentication &amp; Session</t>
        </is>
      </c>
      <c r="C2" s="23" t="inlineStr">
        <is>
          <t>Valid sign-in with correct credentials</t>
        </is>
      </c>
      <c r="D2" s="23" t="inlineStr">
        <is>
          <t>REQ-SEC-Login</t>
        </is>
      </c>
      <c r="E2" s="23" t="inlineStr">
        <is>
          <t>High</t>
        </is>
      </c>
    </row>
    <row r="3">
      <c r="A3" s="26" t="inlineStr">
        <is>
          <t>TC-AUTH-002</t>
        </is>
      </c>
      <c r="B3" s="27" t="inlineStr">
        <is>
          <t>Authentication &amp; Session</t>
        </is>
      </c>
      <c r="C3" s="27" t="inlineStr">
        <is>
          <t>Reject invalid password</t>
        </is>
      </c>
      <c r="D3" s="27" t="inlineStr">
        <is>
          <t>REQ-SEC-Login</t>
        </is>
      </c>
      <c r="E3" s="27" t="inlineStr">
        <is>
          <t>High</t>
        </is>
      </c>
    </row>
    <row r="4">
      <c r="A4" s="22" t="inlineStr">
        <is>
          <t>TC-AUTH-003</t>
        </is>
      </c>
      <c r="B4" s="23" t="inlineStr">
        <is>
          <t>Authentication &amp; Session</t>
        </is>
      </c>
      <c r="C4" s="23" t="inlineStr">
        <is>
          <t>Account protection after repeated failures</t>
        </is>
      </c>
      <c r="D4" s="23" t="inlineStr">
        <is>
          <t>REQ-SEC-Policy</t>
        </is>
      </c>
      <c r="E4" s="23" t="inlineStr">
        <is>
          <t>Medium</t>
        </is>
      </c>
    </row>
    <row r="5">
      <c r="A5" s="26" t="inlineStr">
        <is>
          <t>TC-AUTH-004</t>
        </is>
      </c>
      <c r="B5" s="27" t="inlineStr">
        <is>
          <t>Authentication &amp; Session</t>
        </is>
      </c>
      <c r="C5" s="27" t="inlineStr">
        <is>
          <t>Mandatory MFA enrolment</t>
        </is>
      </c>
      <c r="D5" s="27" t="inlineStr">
        <is>
          <t>REQ-SEC-MFA</t>
        </is>
      </c>
      <c r="E5" s="27" t="inlineStr">
        <is>
          <t>High</t>
        </is>
      </c>
    </row>
    <row r="6">
      <c r="A6" s="22" t="inlineStr">
        <is>
          <t>TC-AUTH-005</t>
        </is>
      </c>
      <c r="B6" s="23" t="inlineStr">
        <is>
          <t>Authentication &amp; Session</t>
        </is>
      </c>
      <c r="C6" s="23" t="inlineStr">
        <is>
          <t>MFA challenge on login</t>
        </is>
      </c>
      <c r="D6" s="23" t="inlineStr">
        <is>
          <t>REQ-SEC-MFA</t>
        </is>
      </c>
      <c r="E6" s="23" t="inlineStr">
        <is>
          <t>High</t>
        </is>
      </c>
    </row>
    <row r="7">
      <c r="A7" s="26" t="inlineStr">
        <is>
          <t>TC-AUTH-006</t>
        </is>
      </c>
      <c r="B7" s="27" t="inlineStr">
        <is>
          <t>Authentication &amp; Session</t>
        </is>
      </c>
      <c r="C7" s="27" t="inlineStr">
        <is>
          <t>Forced password change on expiry</t>
        </is>
      </c>
      <c r="D7" s="27" t="inlineStr">
        <is>
          <t>REQ-SEC-Policy</t>
        </is>
      </c>
      <c r="E7" s="27" t="inlineStr">
        <is>
          <t>Medium</t>
        </is>
      </c>
    </row>
    <row r="8">
      <c r="A8" s="22" t="inlineStr">
        <is>
          <t>TC-AUTH-007</t>
        </is>
      </c>
      <c r="B8" s="23" t="inlineStr">
        <is>
          <t>Authentication &amp; Session</t>
        </is>
      </c>
      <c r="C8" s="23" t="inlineStr">
        <is>
          <t>Remember-me persists session</t>
        </is>
      </c>
      <c r="D8" s="23" t="inlineStr">
        <is>
          <t>REQ-SEC-Login</t>
        </is>
      </c>
      <c r="E8" s="23" t="inlineStr">
        <is>
          <t>Low</t>
        </is>
      </c>
    </row>
    <row r="9">
      <c r="A9" s="26" t="inlineStr">
        <is>
          <t>TC-AUTH-008</t>
        </is>
      </c>
      <c r="B9" s="27" t="inlineStr">
        <is>
          <t>Authentication &amp; Session</t>
        </is>
      </c>
      <c r="C9" s="27" t="inlineStr">
        <is>
          <t>Logout invalidates session</t>
        </is>
      </c>
      <c r="D9" s="27" t="inlineStr">
        <is>
          <t>REQ-SEC-Login</t>
        </is>
      </c>
      <c r="E9" s="27" t="inlineStr">
        <is>
          <t>High</t>
        </is>
      </c>
    </row>
    <row r="10">
      <c r="A10" s="22" t="inlineStr">
        <is>
          <t>TC-AUTH-009</t>
        </is>
      </c>
      <c r="B10" s="23" t="inlineStr">
        <is>
          <t>Authentication &amp; Session</t>
        </is>
      </c>
      <c r="C10" s="23" t="inlineStr">
        <is>
          <t>Biometric unlock on mobile</t>
        </is>
      </c>
      <c r="D10" s="23" t="inlineStr">
        <is>
          <t>REQ-Mobile-Biometric</t>
        </is>
      </c>
      <c r="E10" s="23" t="inlineStr">
        <is>
          <t>Low</t>
        </is>
      </c>
    </row>
    <row r="11">
      <c r="A11" s="26" t="inlineStr">
        <is>
          <t>TC-AUTH-010</t>
        </is>
      </c>
      <c r="B11" s="27" t="inlineStr">
        <is>
          <t>Authentication &amp; Session</t>
        </is>
      </c>
      <c r="C11" s="27" t="inlineStr">
        <is>
          <t>Self-service password reset</t>
        </is>
      </c>
      <c r="D11" s="27" t="inlineStr">
        <is>
          <t>REQ-SEC-Login</t>
        </is>
      </c>
      <c r="E11" s="27" t="inlineStr">
        <is>
          <t>Medium</t>
        </is>
      </c>
    </row>
    <row r="12">
      <c r="A12" s="22" t="inlineStr">
        <is>
          <t>TC-RBAC-001</t>
        </is>
      </c>
      <c r="B12" s="23" t="inlineStr">
        <is>
          <t>Roles, Permissions &amp; Isolation</t>
        </is>
      </c>
      <c r="C12" s="23" t="inlineStr">
        <is>
          <t>Role-appropriate navigation</t>
        </is>
      </c>
      <c r="D12" s="23" t="inlineStr">
        <is>
          <t>REQ-RBAC-Menu</t>
        </is>
      </c>
      <c r="E12" s="23" t="inlineStr">
        <is>
          <t>High</t>
        </is>
      </c>
    </row>
    <row r="13">
      <c r="A13" s="26" t="inlineStr">
        <is>
          <t>TC-RBAC-002</t>
        </is>
      </c>
      <c r="B13" s="27" t="inlineStr">
        <is>
          <t>Roles, Permissions &amp; Isolation</t>
        </is>
      </c>
      <c r="C13" s="27" t="inlineStr">
        <is>
          <t>Deny unauthorized route access</t>
        </is>
      </c>
      <c r="D13" s="27" t="inlineStr">
        <is>
          <t>REQ-RBAC-Enforce</t>
        </is>
      </c>
      <c r="E13" s="27" t="inlineStr">
        <is>
          <t>High</t>
        </is>
      </c>
    </row>
    <row r="14">
      <c r="A14" s="22" t="inlineStr">
        <is>
          <t>TC-RBAC-003</t>
        </is>
      </c>
      <c r="B14" s="23" t="inlineStr">
        <is>
          <t>Roles, Permissions &amp; Isolation</t>
        </is>
      </c>
      <c r="C14" s="23" t="inlineStr">
        <is>
          <t>Tenant role override grants access</t>
        </is>
      </c>
      <c r="D14" s="23" t="inlineStr">
        <is>
          <t>REQ-RBAC-Override</t>
        </is>
      </c>
      <c r="E14" s="23" t="inlineStr">
        <is>
          <t>Medium</t>
        </is>
      </c>
    </row>
    <row r="15">
      <c r="A15" s="26" t="inlineStr">
        <is>
          <t>TC-RBAC-004</t>
        </is>
      </c>
      <c r="B15" s="27" t="inlineStr">
        <is>
          <t>Roles, Permissions &amp; Isolation</t>
        </is>
      </c>
      <c r="C15" s="27" t="inlineStr">
        <is>
          <t>Platform-admin plane access</t>
        </is>
      </c>
      <c r="D15" s="27" t="inlineStr">
        <is>
          <t>REQ-RBAC-Platform</t>
        </is>
      </c>
      <c r="E15" s="27" t="inlineStr">
        <is>
          <t>High</t>
        </is>
      </c>
    </row>
    <row r="16">
      <c r="A16" s="22" t="inlineStr">
        <is>
          <t>TC-RBAC-005</t>
        </is>
      </c>
      <c r="B16" s="23" t="inlineStr">
        <is>
          <t>Roles, Permissions &amp; Isolation</t>
        </is>
      </c>
      <c r="C16" s="23" t="inlineStr">
        <is>
          <t>Cross-tenant access is blocked</t>
        </is>
      </c>
      <c r="D16" s="23" t="inlineStr">
        <is>
          <t>REQ-SEC-Isolation</t>
        </is>
      </c>
      <c r="E16" s="23" t="inlineStr">
        <is>
          <t>High</t>
        </is>
      </c>
    </row>
    <row r="17">
      <c r="A17" s="26" t="inlineStr">
        <is>
          <t>TC-RBAC-006</t>
        </is>
      </c>
      <c r="B17" s="27" t="inlineStr">
        <is>
          <t>Roles, Permissions &amp; Isolation</t>
        </is>
      </c>
      <c r="C17" s="27" t="inlineStr">
        <is>
          <t>Staff-area gate enforced</t>
        </is>
      </c>
      <c r="D17" s="27" t="inlineStr">
        <is>
          <t>REQ-RBAC-Enforce</t>
        </is>
      </c>
      <c r="E17" s="27" t="inlineStr">
        <is>
          <t>Medium</t>
        </is>
      </c>
    </row>
    <row r="18">
      <c r="A18" s="22" t="inlineStr">
        <is>
          <t>TC-AM-001</t>
        </is>
      </c>
      <c r="B18" s="23" t="inlineStr">
        <is>
          <t>Account Manager Scoping</t>
        </is>
      </c>
      <c r="C18" s="23" t="inlineStr">
        <is>
          <t>AM sees only in-scope schools (geo)</t>
        </is>
      </c>
      <c r="D18" s="23" t="inlineStr">
        <is>
          <t>REQ-AM-Scope</t>
        </is>
      </c>
      <c r="E18" s="23" t="inlineStr">
        <is>
          <t>High</t>
        </is>
      </c>
    </row>
    <row r="19">
      <c r="A19" s="26" t="inlineStr">
        <is>
          <t>TC-AM-002</t>
        </is>
      </c>
      <c r="B19" s="27" t="inlineStr">
        <is>
          <t>Account Manager Scoping</t>
        </is>
      </c>
      <c r="C19" s="27" t="inlineStr">
        <is>
          <t>AM explicit school assignment</t>
        </is>
      </c>
      <c r="D19" s="27" t="inlineStr">
        <is>
          <t>REQ-AM-Scope</t>
        </is>
      </c>
      <c r="E19" s="27" t="inlineStr">
        <is>
          <t>High</t>
        </is>
      </c>
    </row>
    <row r="20">
      <c r="A20" s="22" t="inlineStr">
        <is>
          <t>TC-AM-003</t>
        </is>
      </c>
      <c r="B20" s="23" t="inlineStr">
        <is>
          <t>Account Manager Scoping</t>
        </is>
      </c>
      <c r="C20" s="23" t="inlineStr">
        <is>
          <t>Out-of-scope sub-route blocked</t>
        </is>
      </c>
      <c r="D20" s="23" t="inlineStr">
        <is>
          <t>REQ-AM-Scope</t>
        </is>
      </c>
      <c r="E20" s="23" t="inlineStr">
        <is>
          <t>High</t>
        </is>
      </c>
    </row>
    <row r="21">
      <c r="A21" s="26" t="inlineStr">
        <is>
          <t>TC-AM-004</t>
        </is>
      </c>
      <c r="B21" s="27" t="inlineStr">
        <is>
          <t>Account Manager Scoping</t>
        </is>
      </c>
      <c r="C21" s="27" t="inlineStr">
        <is>
          <t>Scoped school-id set correctness</t>
        </is>
      </c>
      <c r="D21" s="27" t="inlineStr">
        <is>
          <t>REQ-AM-Scope</t>
        </is>
      </c>
      <c r="E21" s="27" t="inlineStr">
        <is>
          <t>Medium</t>
        </is>
      </c>
    </row>
    <row r="22">
      <c r="A22" s="22" t="inlineStr">
        <is>
          <t>TC-SADM-001</t>
        </is>
      </c>
      <c r="B22" s="23" t="inlineStr">
        <is>
          <t>Super-Admin / Platform Mgmt</t>
        </is>
      </c>
      <c r="C22" s="23" t="inlineStr">
        <is>
          <t>School list view</t>
        </is>
      </c>
      <c r="D22" s="23" t="inlineStr">
        <is>
          <t>REQ-SA-Schools</t>
        </is>
      </c>
      <c r="E22" s="23" t="inlineStr">
        <is>
          <t>Medium</t>
        </is>
      </c>
    </row>
    <row r="23">
      <c r="A23" s="26" t="inlineStr">
        <is>
          <t>TC-SADM-002</t>
        </is>
      </c>
      <c r="B23" s="27" t="inlineStr">
        <is>
          <t>Super-Admin / Platform Mgmt</t>
        </is>
      </c>
      <c r="C23" s="27" t="inlineStr">
        <is>
          <t>School detail view</t>
        </is>
      </c>
      <c r="D23" s="27" t="inlineStr">
        <is>
          <t>REQ-SA-Schools</t>
        </is>
      </c>
      <c r="E23" s="27" t="inlineStr">
        <is>
          <t>Medium</t>
        </is>
      </c>
    </row>
    <row r="24">
      <c r="A24" s="22" t="inlineStr">
        <is>
          <t>TC-SADM-003</t>
        </is>
      </c>
      <c r="B24" s="23" t="inlineStr">
        <is>
          <t>Super-Admin / Platform Mgmt</t>
        </is>
      </c>
      <c r="C24" s="23" t="inlineStr">
        <is>
          <t>Row action (3-dot) menu</t>
        </is>
      </c>
      <c r="D24" s="23" t="inlineStr">
        <is>
          <t>REQ-SA-Schools</t>
        </is>
      </c>
      <c r="E24" s="23" t="inlineStr">
        <is>
          <t>Medium</t>
        </is>
      </c>
    </row>
    <row r="25">
      <c r="A25" s="26" t="inlineStr">
        <is>
          <t>TC-SADM-004</t>
        </is>
      </c>
      <c r="B25" s="27" t="inlineStr">
        <is>
          <t>Super-Admin / Platform Mgmt</t>
        </is>
      </c>
      <c r="C25" s="27" t="inlineStr">
        <is>
          <t>Create a new tenant/school</t>
        </is>
      </c>
      <c r="D25" s="27" t="inlineStr">
        <is>
          <t>REQ-SA-Onboard</t>
        </is>
      </c>
      <c r="E25" s="27" t="inlineStr">
        <is>
          <t>High</t>
        </is>
      </c>
    </row>
    <row r="26">
      <c r="A26" s="22" t="inlineStr">
        <is>
          <t>TC-SADM-005</t>
        </is>
      </c>
      <c r="B26" s="23" t="inlineStr">
        <is>
          <t>Super-Admin / Platform Mgmt</t>
        </is>
      </c>
      <c r="C26" s="23" t="inlineStr">
        <is>
          <t>Suspend and reactivate a school</t>
        </is>
      </c>
      <c r="D26" s="23" t="inlineStr">
        <is>
          <t>REQ-SA-Schools</t>
        </is>
      </c>
      <c r="E26" s="23" t="inlineStr">
        <is>
          <t>Medium</t>
        </is>
      </c>
    </row>
    <row r="27">
      <c r="A27" s="26" t="inlineStr">
        <is>
          <t>TC-COMM-001</t>
        </is>
      </c>
      <c r="B27" s="27" t="inlineStr">
        <is>
          <t>Commercial &amp; Purchase Orders</t>
        </is>
      </c>
      <c r="C27" s="27" t="inlineStr">
        <is>
          <t>Create PO with per-school × term pricing</t>
        </is>
      </c>
      <c r="D27" s="27" t="inlineStr">
        <is>
          <t>REQ-COMM-PO</t>
        </is>
      </c>
      <c r="E27" s="27" t="inlineStr">
        <is>
          <t>High</t>
        </is>
      </c>
    </row>
    <row r="28">
      <c r="A28" s="22" t="inlineStr">
        <is>
          <t>TC-COMM-002</t>
        </is>
      </c>
      <c r="B28" s="23" t="inlineStr">
        <is>
          <t>Commercial &amp; Purchase Orders</t>
        </is>
      </c>
      <c r="C28" s="23" t="inlineStr">
        <is>
          <t>Apply a discount</t>
        </is>
      </c>
      <c r="D28" s="23" t="inlineStr">
        <is>
          <t>REQ-COMM-PO</t>
        </is>
      </c>
      <c r="E28" s="23" t="inlineStr">
        <is>
          <t>High</t>
        </is>
      </c>
    </row>
    <row r="29">
      <c r="A29" s="26" t="inlineStr">
        <is>
          <t>TC-COMM-003</t>
        </is>
      </c>
      <c r="B29" s="27" t="inlineStr">
        <is>
          <t>Commercial &amp; Purchase Orders</t>
        </is>
      </c>
      <c r="C29" s="27" t="inlineStr">
        <is>
          <t>PO reference generation</t>
        </is>
      </c>
      <c r="D29" s="27" t="inlineStr">
        <is>
          <t>REQ-COMM-PO</t>
        </is>
      </c>
      <c r="E29" s="27" t="inlineStr">
        <is>
          <t>Low</t>
        </is>
      </c>
    </row>
    <row r="30">
      <c r="A30" s="22" t="inlineStr">
        <is>
          <t>TC-COMM-004</t>
        </is>
      </c>
      <c r="B30" s="23" t="inlineStr">
        <is>
          <t>Commercial &amp; Purchase Orders</t>
        </is>
      </c>
      <c r="C30" s="23" t="inlineStr">
        <is>
          <t>Branded PO PDF export</t>
        </is>
      </c>
      <c r="D30" s="23" t="inlineStr">
        <is>
          <t>REQ-COMM-PO;REQ-DLG</t>
        </is>
      </c>
      <c r="E30" s="23" t="inlineStr">
        <is>
          <t>Medium</t>
        </is>
      </c>
    </row>
    <row r="31">
      <c r="A31" s="26" t="inlineStr">
        <is>
          <t>TC-COMM-005</t>
        </is>
      </c>
      <c r="B31" s="27" t="inlineStr">
        <is>
          <t>Commercial &amp; Purchase Orders</t>
        </is>
      </c>
      <c r="C31" s="27" t="inlineStr">
        <is>
          <t>PO actions</t>
        </is>
      </c>
      <c r="D31" s="27" t="inlineStr">
        <is>
          <t>REQ-COMM-PO</t>
        </is>
      </c>
      <c r="E31" s="27" t="inlineStr">
        <is>
          <t>Medium</t>
        </is>
      </c>
    </row>
    <row r="32">
      <c r="A32" s="22" t="inlineStr">
        <is>
          <t>TC-COMM-006</t>
        </is>
      </c>
      <c r="B32" s="23" t="inlineStr">
        <is>
          <t>Commercial &amp; Purchase Orders</t>
        </is>
      </c>
      <c r="C32" s="23" t="inlineStr">
        <is>
          <t>PO list filters persist</t>
        </is>
      </c>
      <c r="D32" s="23" t="inlineStr">
        <is>
          <t>REQ-COMM-PO;REQ-REFRESH</t>
        </is>
      </c>
      <c r="E32" s="23" t="inlineStr">
        <is>
          <t>Low</t>
        </is>
      </c>
    </row>
    <row r="33">
      <c r="A33" s="26" t="inlineStr">
        <is>
          <t>TC-ACT-001</t>
        </is>
      </c>
      <c r="B33" s="27" t="inlineStr">
        <is>
          <t>Invoice &amp; Activation Workflow</t>
        </is>
      </c>
      <c r="C33" s="27" t="inlineStr">
        <is>
          <t>New tenant starts pending</t>
        </is>
      </c>
      <c r="D33" s="27" t="inlineStr">
        <is>
          <t>REQ-ACT-Gate</t>
        </is>
      </c>
      <c r="E33" s="27" t="inlineStr">
        <is>
          <t>High</t>
        </is>
      </c>
    </row>
    <row r="34">
      <c r="A34" s="22" t="inlineStr">
        <is>
          <t>TC-ACT-002</t>
        </is>
      </c>
      <c r="B34" s="23" t="inlineStr">
        <is>
          <t>Invoice &amp; Activation Workflow</t>
        </is>
      </c>
      <c r="C34" s="23" t="inlineStr">
        <is>
          <t>Existing tenants grandfathered active</t>
        </is>
      </c>
      <c r="D34" s="23" t="inlineStr">
        <is>
          <t>REQ-ACT-Gate</t>
        </is>
      </c>
      <c r="E34" s="23" t="inlineStr">
        <is>
          <t>High</t>
        </is>
      </c>
    </row>
    <row r="35">
      <c r="A35" s="26" t="inlineStr">
        <is>
          <t>TC-ACT-003</t>
        </is>
      </c>
      <c r="B35" s="27" t="inlineStr">
        <is>
          <t>Invoice &amp; Activation Workflow</t>
        </is>
      </c>
      <c r="C35" s="27" t="inlineStr">
        <is>
          <t>Submit payment / invoice proof</t>
        </is>
      </c>
      <c r="D35" s="27" t="inlineStr">
        <is>
          <t>REQ-ACT-Invoice</t>
        </is>
      </c>
      <c r="E35" s="27" t="inlineStr">
        <is>
          <t>Medium</t>
        </is>
      </c>
    </row>
    <row r="36">
      <c r="A36" s="22" t="inlineStr">
        <is>
          <t>TC-ACT-004</t>
        </is>
      </c>
      <c r="B36" s="23" t="inlineStr">
        <is>
          <t>Invoice &amp; Activation Workflow</t>
        </is>
      </c>
      <c r="C36" s="23" t="inlineStr">
        <is>
          <t>Rejected payment allows resubmit</t>
        </is>
      </c>
      <c r="D36" s="23" t="inlineStr">
        <is>
          <t>REQ-ACT-Invoice</t>
        </is>
      </c>
      <c r="E36" s="23" t="inlineStr">
        <is>
          <t>Medium</t>
        </is>
      </c>
    </row>
    <row r="37">
      <c r="A37" s="26" t="inlineStr">
        <is>
          <t>TC-ACT-005</t>
        </is>
      </c>
      <c r="B37" s="27" t="inlineStr">
        <is>
          <t>Invoice &amp; Activation Workflow</t>
        </is>
      </c>
      <c r="C37" s="27" t="inlineStr">
        <is>
          <t>Manual activation with justification</t>
        </is>
      </c>
      <c r="D37" s="27" t="inlineStr">
        <is>
          <t>REQ-ACT-Manual</t>
        </is>
      </c>
      <c r="E37" s="27" t="inlineStr">
        <is>
          <t>High</t>
        </is>
      </c>
    </row>
    <row r="38">
      <c r="A38" s="22" t="inlineStr">
        <is>
          <t>TC-ACT-006</t>
        </is>
      </c>
      <c r="B38" s="23" t="inlineStr">
        <is>
          <t>Invoice &amp; Activation Workflow</t>
        </is>
      </c>
      <c r="C38" s="23" t="inlineStr">
        <is>
          <t>Activation history log</t>
        </is>
      </c>
      <c r="D38" s="23" t="inlineStr">
        <is>
          <t>REQ-ACT-Manual</t>
        </is>
      </c>
      <c r="E38" s="23" t="inlineStr">
        <is>
          <t>Low</t>
        </is>
      </c>
    </row>
    <row r="39">
      <c r="A39" s="26" t="inlineStr">
        <is>
          <t>TC-ACT-007</t>
        </is>
      </c>
      <c r="B39" s="27" t="inlineStr">
        <is>
          <t>Invoice &amp; Activation Workflow</t>
        </is>
      </c>
      <c r="C39" s="27" t="inlineStr">
        <is>
          <t>Non-admin gate is limited</t>
        </is>
      </c>
      <c r="D39" s="27" t="inlineStr">
        <is>
          <t>REQ-ACT-Gate;REQ-ONB</t>
        </is>
      </c>
      <c r="E39" s="27" t="inlineStr">
        <is>
          <t>Medium</t>
        </is>
      </c>
    </row>
    <row r="40">
      <c r="A40" s="22" t="inlineStr">
        <is>
          <t>TC-MSG-001</t>
        </is>
      </c>
      <c r="B40" s="23" t="inlineStr">
        <is>
          <t>Messaging</t>
        </is>
      </c>
      <c r="C40" s="23" t="inlineStr">
        <is>
          <t>Send a 1:1 message</t>
        </is>
      </c>
      <c r="D40" s="23" t="inlineStr">
        <is>
          <t>REQ-MSG-DM</t>
        </is>
      </c>
      <c r="E40" s="23" t="inlineStr">
        <is>
          <t>High</t>
        </is>
      </c>
    </row>
    <row r="41">
      <c r="A41" s="26" t="inlineStr">
        <is>
          <t>TC-MSG-002</t>
        </is>
      </c>
      <c r="B41" s="27" t="inlineStr">
        <is>
          <t>Messaging</t>
        </is>
      </c>
      <c r="C41" s="27" t="inlineStr">
        <is>
          <t>Create a group chat</t>
        </is>
      </c>
      <c r="D41" s="27" t="inlineStr">
        <is>
          <t>REQ-MSG-Group</t>
        </is>
      </c>
      <c r="E41" s="27" t="inlineStr">
        <is>
          <t>Medium</t>
        </is>
      </c>
    </row>
    <row r="42">
      <c r="A42" s="22" t="inlineStr">
        <is>
          <t>TC-MSG-003</t>
        </is>
      </c>
      <c r="B42" s="23" t="inlineStr">
        <is>
          <t>Messaging</t>
        </is>
      </c>
      <c r="C42" s="23" t="inlineStr">
        <is>
          <t>Manage members / rename / leave</t>
        </is>
      </c>
      <c r="D42" s="23" t="inlineStr">
        <is>
          <t>REQ-MSG-Group</t>
        </is>
      </c>
      <c r="E42" s="23" t="inlineStr">
        <is>
          <t>Medium</t>
        </is>
      </c>
    </row>
    <row r="43">
      <c r="A43" s="26" t="inlineStr">
        <is>
          <t>TC-MSG-004</t>
        </is>
      </c>
      <c r="B43" s="27" t="inlineStr">
        <is>
          <t>Messaging</t>
        </is>
      </c>
      <c r="C43" s="27" t="inlineStr">
        <is>
          <t>@mention notifies the user</t>
        </is>
      </c>
      <c r="D43" s="27" t="inlineStr">
        <is>
          <t>REQ-MSG-Mention</t>
        </is>
      </c>
      <c r="E43" s="27" t="inlineStr">
        <is>
          <t>Medium</t>
        </is>
      </c>
    </row>
    <row r="44">
      <c r="A44" s="22" t="inlineStr">
        <is>
          <t>TC-MSG-005</t>
        </is>
      </c>
      <c r="B44" s="23" t="inlineStr">
        <is>
          <t>Messaging</t>
        </is>
      </c>
      <c r="C44" s="23" t="inlineStr">
        <is>
          <t>Reply to a message</t>
        </is>
      </c>
      <c r="D44" s="23" t="inlineStr">
        <is>
          <t>REQ-MSG-Thread</t>
        </is>
      </c>
      <c r="E44" s="23" t="inlineStr">
        <is>
          <t>Low</t>
        </is>
      </c>
    </row>
    <row r="45">
      <c r="A45" s="26" t="inlineStr">
        <is>
          <t>TC-MSG-006</t>
        </is>
      </c>
      <c r="B45" s="27" t="inlineStr">
        <is>
          <t>Messaging</t>
        </is>
      </c>
      <c r="C45" s="27" t="inlineStr">
        <is>
          <t>React to a message</t>
        </is>
      </c>
      <c r="D45" s="27" t="inlineStr">
        <is>
          <t>REQ-MSG-React</t>
        </is>
      </c>
      <c r="E45" s="27" t="inlineStr">
        <is>
          <t>Low</t>
        </is>
      </c>
    </row>
    <row r="46">
      <c r="A46" s="22" t="inlineStr">
        <is>
          <t>TC-MSG-007</t>
        </is>
      </c>
      <c r="B46" s="23" t="inlineStr">
        <is>
          <t>Messaging</t>
        </is>
      </c>
      <c r="C46" s="23" t="inlineStr">
        <is>
          <t>Read receipts / unread counts</t>
        </is>
      </c>
      <c r="D46" s="23" t="inlineStr">
        <is>
          <t>REQ-MSG-DM</t>
        </is>
      </c>
      <c r="E46" s="23" t="inlineStr">
        <is>
          <t>Medium</t>
        </is>
      </c>
    </row>
    <row r="47">
      <c r="A47" s="26" t="inlineStr">
        <is>
          <t>TC-MSG-008</t>
        </is>
      </c>
      <c r="B47" s="27" t="inlineStr">
        <is>
          <t>Messaging</t>
        </is>
      </c>
      <c r="C47" s="27" t="inlineStr">
        <is>
          <t>Send an attachment</t>
        </is>
      </c>
      <c r="D47" s="27" t="inlineStr">
        <is>
          <t>REQ-MSG-DM</t>
        </is>
      </c>
      <c r="E47" s="27" t="inlineStr">
        <is>
          <t>Low</t>
        </is>
      </c>
    </row>
    <row r="48">
      <c r="A48" s="22" t="inlineStr">
        <is>
          <t>TC-MSG-009</t>
        </is>
      </c>
      <c r="B48" s="23" t="inlineStr">
        <is>
          <t>Messaging</t>
        </is>
      </c>
      <c r="C48" s="23" t="inlineStr">
        <is>
          <t>HTML sanitisation blocks XSS</t>
        </is>
      </c>
      <c r="D48" s="23" t="inlineStr">
        <is>
          <t>REQ-MSG-Sanitise;REQ-SEC</t>
        </is>
      </c>
      <c r="E48" s="23" t="inlineStr">
        <is>
          <t>High</t>
        </is>
      </c>
    </row>
    <row r="49">
      <c r="A49" s="26" t="inlineStr">
        <is>
          <t>TC-MSG-010</t>
        </is>
      </c>
      <c r="B49" s="27" t="inlineStr">
        <is>
          <t>Messaging</t>
        </is>
      </c>
      <c r="C49" s="27" t="inlineStr">
        <is>
          <t>Mobile DM parity</t>
        </is>
      </c>
      <c r="D49" s="27" t="inlineStr">
        <is>
          <t>REQ-MSG-DM;REQ-MOB</t>
        </is>
      </c>
      <c r="E49" s="27" t="inlineStr">
        <is>
          <t>Medium</t>
        </is>
      </c>
    </row>
    <row r="50">
      <c r="A50" s="22" t="inlineStr">
        <is>
          <t>TC-DLG-001</t>
        </is>
      </c>
      <c r="B50" s="23" t="inlineStr">
        <is>
          <t>Download Governance</t>
        </is>
      </c>
      <c r="C50" s="23" t="inlineStr">
        <is>
          <t>Branded PDF with metadata</t>
        </is>
      </c>
      <c r="D50" s="23" t="inlineStr">
        <is>
          <t>REQ-DLG</t>
        </is>
      </c>
      <c r="E50" s="23" t="inlineStr">
        <is>
          <t>High</t>
        </is>
      </c>
    </row>
    <row r="51">
      <c r="A51" s="26" t="inlineStr">
        <is>
          <t>TC-DLG-002</t>
        </is>
      </c>
      <c r="B51" s="27" t="inlineStr">
        <is>
          <t>Download Governance</t>
        </is>
      </c>
      <c r="C51" s="27" t="inlineStr">
        <is>
          <t>Excel export metadata sheet</t>
        </is>
      </c>
      <c r="D51" s="27" t="inlineStr">
        <is>
          <t>REQ-DLG</t>
        </is>
      </c>
      <c r="E51" s="27" t="inlineStr">
        <is>
          <t>Medium</t>
        </is>
      </c>
    </row>
    <row r="52">
      <c r="A52" s="22" t="inlineStr">
        <is>
          <t>TC-DLG-003</t>
        </is>
      </c>
      <c r="B52" s="23" t="inlineStr">
        <is>
          <t>Download Governance</t>
        </is>
      </c>
      <c r="C52" s="23" t="inlineStr">
        <is>
          <t>CSV metadata stamp</t>
        </is>
      </c>
      <c r="D52" s="23" t="inlineStr">
        <is>
          <t>REQ-DLG</t>
        </is>
      </c>
      <c r="E52" s="23" t="inlineStr">
        <is>
          <t>Low</t>
        </is>
      </c>
    </row>
    <row r="53">
      <c r="A53" s="26" t="inlineStr">
        <is>
          <t>TC-DLG-004</t>
        </is>
      </c>
      <c r="B53" s="27" t="inlineStr">
        <is>
          <t>Download Governance</t>
        </is>
      </c>
      <c r="C53" s="27" t="inlineStr">
        <is>
          <t>Download audit trail</t>
        </is>
      </c>
      <c r="D53" s="27" t="inlineStr">
        <is>
          <t>REQ-DLG;REQ-SEC</t>
        </is>
      </c>
      <c r="E53" s="27" t="inlineStr">
        <is>
          <t>Medium</t>
        </is>
      </c>
    </row>
    <row r="54">
      <c r="A54" s="22" t="inlineStr">
        <is>
          <t>TC-DLG-005</t>
        </is>
      </c>
      <c r="B54" s="23" t="inlineStr">
        <is>
          <t>Download Governance</t>
        </is>
      </c>
      <c r="C54" s="23" t="inlineStr">
        <is>
          <t>Deep-route export governance</t>
        </is>
      </c>
      <c r="D54" s="23" t="inlineStr">
        <is>
          <t>REQ-DLG</t>
        </is>
      </c>
      <c r="E54" s="23" t="inlineStr">
        <is>
          <t>Low</t>
        </is>
      </c>
    </row>
    <row r="55">
      <c r="A55" s="26" t="inlineStr">
        <is>
          <t>TC-SCH-001</t>
        </is>
      </c>
      <c r="B55" s="27" t="inlineStr">
        <is>
          <t>School-Admin Portal</t>
        </is>
      </c>
      <c r="C55" s="27" t="inlineStr">
        <is>
          <t>School-admin dashboard loads</t>
        </is>
      </c>
      <c r="D55" s="27" t="inlineStr">
        <is>
          <t>REQ-SCH</t>
        </is>
      </c>
      <c r="E55" s="27" t="inlineStr">
        <is>
          <t>Medium</t>
        </is>
      </c>
    </row>
    <row r="56">
      <c r="A56" s="22" t="inlineStr">
        <is>
          <t>TC-SCH-002</t>
        </is>
      </c>
      <c r="B56" s="23" t="inlineStr">
        <is>
          <t>School-Admin Portal</t>
        </is>
      </c>
      <c r="C56" s="23" t="inlineStr">
        <is>
          <t>Admin has all Transport-Manager sections</t>
        </is>
      </c>
      <c r="D56" s="23" t="inlineStr">
        <is>
          <t>REQ-SCH-TMParity</t>
        </is>
      </c>
      <c r="E56" s="23" t="inlineStr">
        <is>
          <t>High</t>
        </is>
      </c>
    </row>
    <row r="57">
      <c r="A57" s="26" t="inlineStr">
        <is>
          <t>TC-SCH-003</t>
        </is>
      </c>
      <c r="B57" s="27" t="inlineStr">
        <is>
          <t>School-Admin Portal</t>
        </is>
      </c>
      <c r="C57" s="27" t="inlineStr">
        <is>
          <t>Invite a member with a role</t>
        </is>
      </c>
      <c r="D57" s="27" t="inlineStr">
        <is>
          <t>REQ-SCH-Invite</t>
        </is>
      </c>
      <c r="E57" s="27" t="inlineStr">
        <is>
          <t>Medium</t>
        </is>
      </c>
    </row>
    <row r="58">
      <c r="A58" s="22" t="inlineStr">
        <is>
          <t>TC-SCH-004</t>
        </is>
      </c>
      <c r="B58" s="23" t="inlineStr">
        <is>
          <t>School-Admin Portal</t>
        </is>
      </c>
      <c r="C58" s="23" t="inlineStr">
        <is>
          <t>Create an announcement</t>
        </is>
      </c>
      <c r="D58" s="23" t="inlineStr">
        <is>
          <t>REQ-ANN</t>
        </is>
      </c>
      <c r="E58" s="23" t="inlineStr">
        <is>
          <t>Low</t>
        </is>
      </c>
    </row>
    <row r="59">
      <c r="A59" s="26" t="inlineStr">
        <is>
          <t>TC-SCH-005</t>
        </is>
      </c>
      <c r="B59" s="27" t="inlineStr">
        <is>
          <t>School-Admin Portal</t>
        </is>
      </c>
      <c r="C59" s="27" t="inlineStr">
        <is>
          <t>Manage events</t>
        </is>
      </c>
      <c r="D59" s="27" t="inlineStr">
        <is>
          <t>REQ-CAL</t>
        </is>
      </c>
      <c r="E59" s="27" t="inlineStr">
        <is>
          <t>Low</t>
        </is>
      </c>
    </row>
    <row r="60">
      <c r="A60" s="22" t="inlineStr">
        <is>
          <t>TC-TCH-001</t>
        </is>
      </c>
      <c r="B60" s="23" t="inlineStr">
        <is>
          <t>Teacher Portal</t>
        </is>
      </c>
      <c r="C60" s="23" t="inlineStr">
        <is>
          <t>Teacher dashboard</t>
        </is>
      </c>
      <c r="D60" s="23" t="inlineStr">
        <is>
          <t>REQ-TCH</t>
        </is>
      </c>
      <c r="E60" s="23" t="inlineStr">
        <is>
          <t>Medium</t>
        </is>
      </c>
    </row>
    <row r="61">
      <c r="A61" s="26" t="inlineStr">
        <is>
          <t>TC-TCH-002</t>
        </is>
      </c>
      <c r="B61" s="27" t="inlineStr">
        <is>
          <t>Teacher Portal</t>
        </is>
      </c>
      <c r="C61" s="27" t="inlineStr">
        <is>
          <t>Manage a trip</t>
        </is>
      </c>
      <c r="D61" s="27" t="inlineStr">
        <is>
          <t>REQ-TCH-Trips</t>
        </is>
      </c>
      <c r="E61" s="27" t="inlineStr">
        <is>
          <t>Medium</t>
        </is>
      </c>
    </row>
    <row r="62">
      <c r="A62" s="22" t="inlineStr">
        <is>
          <t>TC-TCH-003</t>
        </is>
      </c>
      <c r="B62" s="23" t="inlineStr">
        <is>
          <t>Teacher Portal</t>
        </is>
      </c>
      <c r="C62" s="23" t="inlineStr">
        <is>
          <t>Create a pupil report</t>
        </is>
      </c>
      <c r="D62" s="23" t="inlineStr">
        <is>
          <t>REQ-RPT</t>
        </is>
      </c>
      <c r="E62" s="23" t="inlineStr">
        <is>
          <t>Medium</t>
        </is>
      </c>
    </row>
    <row r="63">
      <c r="A63" s="26" t="inlineStr">
        <is>
          <t>TC-TCH-004</t>
        </is>
      </c>
      <c r="B63" s="27" t="inlineStr">
        <is>
          <t>Teacher Portal</t>
        </is>
      </c>
      <c r="C63" s="27" t="inlineStr">
        <is>
          <t>Award merit / behaviour point</t>
        </is>
      </c>
      <c r="D63" s="27" t="inlineStr">
        <is>
          <t>REQ-BEH</t>
        </is>
      </c>
      <c r="E63" s="27" t="inlineStr">
        <is>
          <t>Low</t>
        </is>
      </c>
    </row>
    <row r="64">
      <c r="A64" s="22" t="inlineStr">
        <is>
          <t>TC-PAR-001</t>
        </is>
      </c>
      <c r="B64" s="23" t="inlineStr">
        <is>
          <t>Parent Portal</t>
        </is>
      </c>
      <c r="C64" s="23" t="inlineStr">
        <is>
          <t>Parent dashboard &amp; children</t>
        </is>
      </c>
      <c r="D64" s="23" t="inlineStr">
        <is>
          <t>REQ-PAR</t>
        </is>
      </c>
      <c r="E64" s="23" t="inlineStr">
        <is>
          <t>Medium</t>
        </is>
      </c>
    </row>
    <row r="65">
      <c r="A65" s="26" t="inlineStr">
        <is>
          <t>TC-PAR-002</t>
        </is>
      </c>
      <c r="B65" s="27" t="inlineStr">
        <is>
          <t>Parent Portal</t>
        </is>
      </c>
      <c r="C65" s="27" t="inlineStr">
        <is>
          <t>Consent to a trip</t>
        </is>
      </c>
      <c r="D65" s="27" t="inlineStr">
        <is>
          <t>REQ-PAR-Consent</t>
        </is>
      </c>
      <c r="E65" s="27" t="inlineStr">
        <is>
          <t>Medium</t>
        </is>
      </c>
    </row>
    <row r="66">
      <c r="A66" s="22" t="inlineStr">
        <is>
          <t>TC-PAR-003</t>
        </is>
      </c>
      <c r="B66" s="23" t="inlineStr">
        <is>
          <t>Parent Portal</t>
        </is>
      </c>
      <c r="C66" s="23" t="inlineStr">
        <is>
          <t>Live transport tracking</t>
        </is>
      </c>
      <c r="D66" s="23" t="inlineStr">
        <is>
          <t>REQ-PAR-Transport;REQ-Safeguard</t>
        </is>
      </c>
      <c r="E66" s="23" t="inlineStr">
        <is>
          <t>Medium</t>
        </is>
      </c>
    </row>
    <row r="67">
      <c r="A67" s="26" t="inlineStr">
        <is>
          <t>TC-PAR-004</t>
        </is>
      </c>
      <c r="B67" s="27" t="inlineStr">
        <is>
          <t>Parent Portal</t>
        </is>
      </c>
      <c r="C67" s="27" t="inlineStr">
        <is>
          <t>AI assistant scoped to own children</t>
        </is>
      </c>
      <c r="D67" s="27" t="inlineStr">
        <is>
          <t>REQ-PAR-AI</t>
        </is>
      </c>
      <c r="E67" s="27" t="inlineStr">
        <is>
          <t>Medium</t>
        </is>
      </c>
    </row>
    <row r="68">
      <c r="A68" s="22" t="inlineStr">
        <is>
          <t>TC-PAR-005</t>
        </is>
      </c>
      <c r="B68" s="23" t="inlineStr">
        <is>
          <t>Parent Portal</t>
        </is>
      </c>
      <c r="C68" s="23" t="inlineStr">
        <is>
          <t>Notification preferences persist</t>
        </is>
      </c>
      <c r="D68" s="23" t="inlineStr">
        <is>
          <t>REQ-NOTIF</t>
        </is>
      </c>
      <c r="E68" s="23" t="inlineStr">
        <is>
          <t>Low</t>
        </is>
      </c>
    </row>
    <row r="69">
      <c r="A69" s="26" t="inlineStr">
        <is>
          <t>TC-DRV-001</t>
        </is>
      </c>
      <c r="B69" s="27" t="inlineStr">
        <is>
          <t>Driver Portal (Web)</t>
        </is>
      </c>
      <c r="C69" s="27" t="inlineStr">
        <is>
          <t>Driver web journeys / start-stop</t>
        </is>
      </c>
      <c r="D69" s="27" t="inlineStr">
        <is>
          <t>REQ-DRV</t>
        </is>
      </c>
      <c r="E69" s="27" t="inlineStr">
        <is>
          <t>Medium</t>
        </is>
      </c>
    </row>
    <row r="70">
      <c r="A70" s="22" t="inlineStr">
        <is>
          <t>TC-DRV-002</t>
        </is>
      </c>
      <c r="B70" s="23" t="inlineStr">
        <is>
          <t>Driver Portal (Web)</t>
        </is>
      </c>
      <c r="C70" s="23" t="inlineStr">
        <is>
          <t>Raise an incident (web)</t>
        </is>
      </c>
      <c r="D70" s="23" t="inlineStr">
        <is>
          <t>REQ-DRV-Incident</t>
        </is>
      </c>
      <c r="E70" s="23" t="inlineStr">
        <is>
          <t>High</t>
        </is>
      </c>
    </row>
    <row r="71">
      <c r="A71" s="26" t="inlineStr">
        <is>
          <t>TC-DRV-003</t>
        </is>
      </c>
      <c r="B71" s="27" t="inlineStr">
        <is>
          <t>Driver Portal (Web)</t>
        </is>
      </c>
      <c r="C71" s="27" t="inlineStr">
        <is>
          <t>Vehicle / fleet log</t>
        </is>
      </c>
      <c r="D71" s="27" t="inlineStr">
        <is>
          <t>REQ-DRV-Fleet</t>
        </is>
      </c>
      <c r="E71" s="27" t="inlineStr">
        <is>
          <t>Medium</t>
        </is>
      </c>
    </row>
    <row r="72">
      <c r="A72" s="22" t="inlineStr">
        <is>
          <t>TC-DRV-004</t>
        </is>
      </c>
      <c r="B72" s="23" t="inlineStr">
        <is>
          <t>Driver Portal (Web)</t>
        </is>
      </c>
      <c r="C72" s="23" t="inlineStr">
        <is>
          <t>Travel log renders with null session</t>
        </is>
      </c>
      <c r="D72" s="23" t="inlineStr">
        <is>
          <t>REQ-BUG-TravelLog</t>
        </is>
      </c>
      <c r="E72" s="23" t="inlineStr">
        <is>
          <t>High</t>
        </is>
      </c>
    </row>
    <row r="73">
      <c r="A73" s="26" t="inlineStr">
        <is>
          <t>TC-DRVM-001</t>
        </is>
      </c>
      <c r="B73" s="27" t="inlineStr">
        <is>
          <t>Driver App (Mobile)</t>
        </is>
      </c>
      <c r="C73" s="27" t="inlineStr">
        <is>
          <t>Driver resolves to Driver app</t>
        </is>
      </c>
      <c r="D73" s="27" t="inlineStr">
        <is>
          <t>REQ-BUG-DriverRole</t>
        </is>
      </c>
      <c r="E73" s="27" t="inlineStr">
        <is>
          <t>High</t>
        </is>
      </c>
    </row>
    <row r="74">
      <c r="A74" s="22" t="inlineStr">
        <is>
          <t>TC-DRVM-002</t>
        </is>
      </c>
      <c r="B74" s="23" t="inlineStr">
        <is>
          <t>Driver App (Mobile)</t>
        </is>
      </c>
      <c r="C74" s="23" t="inlineStr">
        <is>
          <t>Driver tabs present</t>
        </is>
      </c>
      <c r="D74" s="23" t="inlineStr">
        <is>
          <t>REQ-DRV-Mobile</t>
        </is>
      </c>
      <c r="E74" s="23" t="inlineStr">
        <is>
          <t>High</t>
        </is>
      </c>
    </row>
    <row r="75">
      <c r="A75" s="26" t="inlineStr">
        <is>
          <t>TC-DRVM-003</t>
        </is>
      </c>
      <c r="B75" s="27" t="inlineStr">
        <is>
          <t>Driver App (Mobile)</t>
        </is>
      </c>
      <c r="C75" s="27" t="inlineStr">
        <is>
          <t>Today's journeys start/complete</t>
        </is>
      </c>
      <c r="D75" s="27" t="inlineStr">
        <is>
          <t>REQ-DRV-Mobile</t>
        </is>
      </c>
      <c r="E75" s="27" t="inlineStr">
        <is>
          <t>Medium</t>
        </is>
      </c>
    </row>
    <row r="76">
      <c r="A76" s="22" t="inlineStr">
        <is>
          <t>TC-DRVM-004</t>
        </is>
      </c>
      <c r="B76" s="23" t="inlineStr">
        <is>
          <t>Driver App (Mobile)</t>
        </is>
      </c>
      <c r="C76" s="23" t="inlineStr">
        <is>
          <t>Report an incident (mobile)</t>
        </is>
      </c>
      <c r="D76" s="23" t="inlineStr">
        <is>
          <t>REQ-DRV-Incident</t>
        </is>
      </c>
      <c r="E76" s="23" t="inlineStr">
        <is>
          <t>Medium</t>
        </is>
      </c>
    </row>
    <row r="77">
      <c r="A77" s="26" t="inlineStr">
        <is>
          <t>TC-DRVM-005</t>
        </is>
      </c>
      <c r="B77" s="27" t="inlineStr">
        <is>
          <t>Driver App (Mobile)</t>
        </is>
      </c>
      <c r="C77" s="27" t="inlineStr">
        <is>
          <t>Journey history</t>
        </is>
      </c>
      <c r="D77" s="27" t="inlineStr">
        <is>
          <t>REQ-DRV-Mobile</t>
        </is>
      </c>
      <c r="E77" s="27" t="inlineStr">
        <is>
          <t>Low</t>
        </is>
      </c>
    </row>
    <row r="78">
      <c r="A78" s="22" t="inlineStr">
        <is>
          <t>TC-DRVM-006</t>
        </is>
      </c>
      <c r="B78" s="23" t="inlineStr">
        <is>
          <t>Driver App (Mobile)</t>
        </is>
      </c>
      <c r="C78" s="23" t="inlineStr">
        <is>
          <t>Debounced driver search</t>
        </is>
      </c>
      <c r="D78" s="23" t="inlineStr">
        <is>
          <t>REQ-DRV-Mobile</t>
        </is>
      </c>
      <c r="E78" s="23" t="inlineStr">
        <is>
          <t>Low</t>
        </is>
      </c>
    </row>
    <row r="79">
      <c r="A79" s="26" t="inlineStr">
        <is>
          <t>TC-DRVM-007</t>
        </is>
      </c>
      <c r="B79" s="27" t="inlineStr">
        <is>
          <t>Driver App (Mobile)</t>
        </is>
      </c>
      <c r="C79" s="27" t="inlineStr">
        <is>
          <t>Help &amp; support tickets</t>
        </is>
      </c>
      <c r="D79" s="27" t="inlineStr">
        <is>
          <t>REQ-SUP;REQ-DRV-Mobile</t>
        </is>
      </c>
      <c r="E79" s="27" t="inlineStr">
        <is>
          <t>Low</t>
        </is>
      </c>
    </row>
    <row r="80">
      <c r="A80" s="22" t="inlineStr">
        <is>
          <t>TC-TM-001</t>
        </is>
      </c>
      <c r="B80" s="23" t="inlineStr">
        <is>
          <t>Transport-Manager Portal</t>
        </is>
      </c>
      <c r="C80" s="23" t="inlineStr">
        <is>
          <t>TM dashboard</t>
        </is>
      </c>
      <c r="D80" s="23" t="inlineStr">
        <is>
          <t>REQ-TM</t>
        </is>
      </c>
      <c r="E80" s="23" t="inlineStr">
        <is>
          <t>Medium</t>
        </is>
      </c>
    </row>
    <row r="81">
      <c r="A81" s="26" t="inlineStr">
        <is>
          <t>TC-TM-002</t>
        </is>
      </c>
      <c r="B81" s="27" t="inlineStr">
        <is>
          <t>Transport-Manager Portal</t>
        </is>
      </c>
      <c r="C81" s="27" t="inlineStr">
        <is>
          <t>Live control room</t>
        </is>
      </c>
      <c r="D81" s="27" t="inlineStr">
        <is>
          <t>REQ-TM</t>
        </is>
      </c>
      <c r="E81" s="27" t="inlineStr">
        <is>
          <t>Medium</t>
        </is>
      </c>
    </row>
    <row r="82">
      <c r="A82" s="22" t="inlineStr">
        <is>
          <t>TC-TM-003</t>
        </is>
      </c>
      <c r="B82" s="23" t="inlineStr">
        <is>
          <t>Transport-Manager Portal</t>
        </is>
      </c>
      <c r="C82" s="23" t="inlineStr">
        <is>
          <t>Travel logs view</t>
        </is>
      </c>
      <c r="D82" s="23" t="inlineStr">
        <is>
          <t>REQ-TM;REQ-BUG-TravelLog</t>
        </is>
      </c>
      <c r="E82" s="23" t="inlineStr">
        <is>
          <t>Medium</t>
        </is>
      </c>
    </row>
    <row r="83">
      <c r="A83" s="26" t="inlineStr">
        <is>
          <t>TC-TM-004</t>
        </is>
      </c>
      <c r="B83" s="27" t="inlineStr">
        <is>
          <t>Transport-Manager Portal</t>
        </is>
      </c>
      <c r="C83" s="27" t="inlineStr">
        <is>
          <t>Manage incidents</t>
        </is>
      </c>
      <c r="D83" s="27" t="inlineStr">
        <is>
          <t>REQ-TM;REQ-DRV-Incident</t>
        </is>
      </c>
      <c r="E83" s="27" t="inlineStr">
        <is>
          <t>Medium</t>
        </is>
      </c>
    </row>
    <row r="84">
      <c r="A84" s="22" t="inlineStr">
        <is>
          <t>TC-TM-005</t>
        </is>
      </c>
      <c r="B84" s="23" t="inlineStr">
        <is>
          <t>Transport-Manager Portal</t>
        </is>
      </c>
      <c r="C84" s="23" t="inlineStr">
        <is>
          <t>Vehicles &amp; driver logs</t>
        </is>
      </c>
      <c r="D84" s="23" t="inlineStr">
        <is>
          <t>REQ-TM</t>
        </is>
      </c>
      <c r="E84" s="23" t="inlineStr">
        <is>
          <t>Medium</t>
        </is>
      </c>
    </row>
    <row r="85">
      <c r="A85" s="26" t="inlineStr">
        <is>
          <t>TC-ONB-001</t>
        </is>
      </c>
      <c r="B85" s="27" t="inlineStr">
        <is>
          <t>Onboarding &amp; Profile Enforcement</t>
        </is>
      </c>
      <c r="C85" s="27" t="inlineStr">
        <is>
          <t>Profile enforcement is tenant-admin only</t>
        </is>
      </c>
      <c r="D85" s="27" t="inlineStr">
        <is>
          <t>REQ-BUG-ProfileGate;REQ-ONB</t>
        </is>
      </c>
      <c r="E85" s="27" t="inlineStr">
        <is>
          <t>High</t>
        </is>
      </c>
    </row>
    <row r="86">
      <c r="A86" s="22" t="inlineStr">
        <is>
          <t>TC-ONB-002</t>
        </is>
      </c>
      <c r="B86" s="23" t="inlineStr">
        <is>
          <t>Onboarding &amp; Profile Enforcement</t>
        </is>
      </c>
      <c r="C86" s="23" t="inlineStr">
        <is>
          <t>Accept Terms of Business</t>
        </is>
      </c>
      <c r="D86" s="23" t="inlineStr">
        <is>
          <t>REQ-ONB-Terms</t>
        </is>
      </c>
      <c r="E86" s="23" t="inlineStr">
        <is>
          <t>Medium</t>
        </is>
      </c>
    </row>
    <row r="87">
      <c r="A87" s="26" t="inlineStr">
        <is>
          <t>TC-ONB-003</t>
        </is>
      </c>
      <c r="B87" s="27" t="inlineStr">
        <is>
          <t>Onboarding &amp; Profile Enforcement</t>
        </is>
      </c>
      <c r="C87" s="27" t="inlineStr">
        <is>
          <t>Acknowledge policies</t>
        </is>
      </c>
      <c r="D87" s="27" t="inlineStr">
        <is>
          <t>REQ-ONB-Policies</t>
        </is>
      </c>
      <c r="E87" s="27" t="inlineStr">
        <is>
          <t>Low</t>
        </is>
      </c>
    </row>
    <row r="88">
      <c r="A88" s="22" t="inlineStr">
        <is>
          <t>TC-ONB-004</t>
        </is>
      </c>
      <c r="B88" s="23" t="inlineStr">
        <is>
          <t>Onboarding &amp; Profile Enforcement</t>
        </is>
      </c>
      <c r="C88" s="23" t="inlineStr">
        <is>
          <t>Product tour</t>
        </is>
      </c>
      <c r="D88" s="23" t="inlineStr">
        <is>
          <t>REQ-ONB-Tour</t>
        </is>
      </c>
      <c r="E88" s="23" t="inlineStr">
        <is>
          <t>Low</t>
        </is>
      </c>
    </row>
    <row r="89">
      <c r="A89" s="26" t="inlineStr">
        <is>
          <t>TC-NOTIF-001</t>
        </is>
      </c>
      <c r="B89" s="27" t="inlineStr">
        <is>
          <t>Notifications &amp; Preferences</t>
        </is>
      </c>
      <c r="C89" s="27" t="inlineStr">
        <is>
          <t>Preferences persist</t>
        </is>
      </c>
      <c r="D89" s="27" t="inlineStr">
        <is>
          <t>REQ-NOTIF</t>
        </is>
      </c>
      <c r="E89" s="27" t="inlineStr">
        <is>
          <t>Low</t>
        </is>
      </c>
    </row>
    <row r="90">
      <c r="A90" s="22" t="inlineStr">
        <is>
          <t>TC-NOTIF-002</t>
        </is>
      </c>
      <c r="B90" s="23" t="inlineStr">
        <is>
          <t>Notifications &amp; Preferences</t>
        </is>
      </c>
      <c r="C90" s="23" t="inlineStr">
        <is>
          <t>SMS / WhatsApp delivery</t>
        </is>
      </c>
      <c r="D90" s="23" t="inlineStr">
        <is>
          <t>REQ-NOTIF-Channels</t>
        </is>
      </c>
      <c r="E90" s="23" t="inlineStr">
        <is>
          <t>Medium</t>
        </is>
      </c>
    </row>
    <row r="91">
      <c r="A91" s="26" t="inlineStr">
        <is>
          <t>TC-NOTIF-003</t>
        </is>
      </c>
      <c r="B91" s="27" t="inlineStr">
        <is>
          <t>Notifications &amp; Preferences</t>
        </is>
      </c>
      <c r="C91" s="27" t="inlineStr">
        <is>
          <t>Mobile push receipt</t>
        </is>
      </c>
      <c r="D91" s="27" t="inlineStr">
        <is>
          <t>REQ-NOTIF</t>
        </is>
      </c>
      <c r="E91" s="27" t="inlineStr">
        <is>
          <t>Low</t>
        </is>
      </c>
    </row>
    <row r="92">
      <c r="A92" s="22" t="inlineStr">
        <is>
          <t>TC-SEC-001</t>
        </is>
      </c>
      <c r="B92" s="23" t="inlineStr">
        <is>
          <t>Security, PII &amp; Audit</t>
        </is>
      </c>
      <c r="C92" s="23" t="inlineStr">
        <is>
          <t>PII masking by policy</t>
        </is>
      </c>
      <c r="D92" s="23" t="inlineStr">
        <is>
          <t>REQ-SEC-PII</t>
        </is>
      </c>
      <c r="E92" s="23" t="inlineStr">
        <is>
          <t>High</t>
        </is>
      </c>
    </row>
    <row r="93">
      <c r="A93" s="26" t="inlineStr">
        <is>
          <t>TC-SEC-002</t>
        </is>
      </c>
      <c r="B93" s="27" t="inlineStr">
        <is>
          <t>Security, PII &amp; Audit</t>
        </is>
      </c>
      <c r="C93" s="27" t="inlineStr">
        <is>
          <t>Audit on sensitive action</t>
        </is>
      </c>
      <c r="D93" s="27" t="inlineStr">
        <is>
          <t>REQ-SEC-Audit</t>
        </is>
      </c>
      <c r="E93" s="27" t="inlineStr">
        <is>
          <t>Medium</t>
        </is>
      </c>
    </row>
    <row r="94">
      <c r="A94" s="22" t="inlineStr">
        <is>
          <t>TC-SEC-003</t>
        </is>
      </c>
      <c r="B94" s="23" t="inlineStr">
        <is>
          <t>Security, PII &amp; Audit</t>
        </is>
      </c>
      <c r="C94" s="23" t="inlineStr">
        <is>
          <t>Tenant data isolation (negative)</t>
        </is>
      </c>
      <c r="D94" s="23" t="inlineStr">
        <is>
          <t>REQ-SEC-Isolation</t>
        </is>
      </c>
      <c r="E94" s="23" t="inlineStr">
        <is>
          <t>High</t>
        </is>
      </c>
    </row>
    <row r="95">
      <c r="A95" s="26" t="inlineStr">
        <is>
          <t>TC-INT-001</t>
        </is>
      </c>
      <c r="B95" s="27" t="inlineStr">
        <is>
          <t>Integration Hub</t>
        </is>
      </c>
      <c r="C95" s="27" t="inlineStr">
        <is>
          <t>MIS sync error queue</t>
        </is>
      </c>
      <c r="D95" s="27" t="inlineStr">
        <is>
          <t>REQ-INT</t>
        </is>
      </c>
      <c r="E95" s="27" t="inlineStr">
        <is>
          <t>Medium</t>
        </is>
      </c>
    </row>
    <row r="96">
      <c r="A96" s="22" t="inlineStr">
        <is>
          <t>TC-INT-002</t>
        </is>
      </c>
      <c r="B96" s="23" t="inlineStr">
        <is>
          <t>Integration Hub</t>
        </is>
      </c>
      <c r="C96" s="23" t="inlineStr">
        <is>
          <t>Configure an integration</t>
        </is>
      </c>
      <c r="D96" s="23" t="inlineStr">
        <is>
          <t>REQ-INT</t>
        </is>
      </c>
      <c r="E96" s="23" t="inlineStr">
        <is>
          <t>Low</t>
        </is>
      </c>
    </row>
    <row r="97">
      <c r="A97" s="26" t="inlineStr">
        <is>
          <t>TC-SUP-001</t>
        </is>
      </c>
      <c r="B97" s="27" t="inlineStr">
        <is>
          <t>Support Tickets</t>
        </is>
      </c>
      <c r="C97" s="27" t="inlineStr">
        <is>
          <t>Raise a support ticket</t>
        </is>
      </c>
      <c r="D97" s="27" t="inlineStr">
        <is>
          <t>REQ-SUP</t>
        </is>
      </c>
      <c r="E97" s="27" t="inlineStr">
        <is>
          <t>Medium</t>
        </is>
      </c>
    </row>
    <row r="98">
      <c r="A98" s="22" t="inlineStr">
        <is>
          <t>TC-SUP-002</t>
        </is>
      </c>
      <c r="B98" s="23" t="inlineStr">
        <is>
          <t>Support Tickets</t>
        </is>
      </c>
      <c r="C98" s="23" t="inlineStr">
        <is>
          <t>Reply and close</t>
        </is>
      </c>
      <c r="D98" s="23" t="inlineStr">
        <is>
          <t>REQ-SUP</t>
        </is>
      </c>
      <c r="E98" s="23" t="inlineStr">
        <is>
          <t>Low</t>
        </is>
      </c>
    </row>
    <row r="99">
      <c r="A99" s="26" t="inlineStr">
        <is>
          <t>TC-SUP-003</t>
        </is>
      </c>
      <c r="B99" s="27" t="inlineStr">
        <is>
          <t>Support Tickets</t>
        </is>
      </c>
      <c r="C99" s="27" t="inlineStr">
        <is>
          <t>SLA breach indicator</t>
        </is>
      </c>
      <c r="D99" s="27" t="inlineStr">
        <is>
          <t>REQ-SUP</t>
        </is>
      </c>
      <c r="E99" s="27" t="inlineStr">
        <is>
          <t>Low</t>
        </is>
      </c>
    </row>
    <row r="100">
      <c r="A100" s="22" t="inlineStr">
        <is>
          <t>TC-MOB-001</t>
        </is>
      </c>
      <c r="B100" s="23" t="inlineStr">
        <is>
          <t>Mobile Platform / Bootstrap</t>
        </is>
      </c>
      <c r="C100" s="23" t="inlineStr">
        <is>
          <t>Bootstrap payload correctness</t>
        </is>
      </c>
      <c r="D100" s="23" t="inlineStr">
        <is>
          <t>REQ-MOB</t>
        </is>
      </c>
      <c r="E100" s="23" t="inlineStr">
        <is>
          <t>Medium</t>
        </is>
      </c>
    </row>
    <row r="101">
      <c r="A101" s="26" t="inlineStr">
        <is>
          <t>TC-MOB-002</t>
        </is>
      </c>
      <c r="B101" s="27" t="inlineStr">
        <is>
          <t>Mobile Platform / Bootstrap</t>
        </is>
      </c>
      <c r="C101" s="27" t="inlineStr">
        <is>
          <t>Bootstrap tolerant of un-migrated columns</t>
        </is>
      </c>
      <c r="D101" s="27" t="inlineStr">
        <is>
          <t>REQ-MOB</t>
        </is>
      </c>
      <c r="E101" s="27" t="inlineStr">
        <is>
          <t>Low</t>
        </is>
      </c>
    </row>
    <row r="102">
      <c r="A102" s="22" t="inlineStr">
        <is>
          <t>TC-MOB-003</t>
        </is>
      </c>
      <c r="B102" s="23" t="inlineStr">
        <is>
          <t>Mobile Platform / Bootstrap</t>
        </is>
      </c>
      <c r="C102" s="23" t="inlineStr">
        <is>
          <t>Persisted/last-known state</t>
        </is>
      </c>
      <c r="D102" s="23" t="inlineStr">
        <is>
          <t>REQ-MOB-Offline</t>
        </is>
      </c>
      <c r="E102" s="23" t="inlineStr">
        <is>
          <t>Low</t>
        </is>
      </c>
    </row>
    <row r="103">
      <c r="A103" s="26" t="inlineStr">
        <is>
          <t>TC-REG-001</t>
        </is>
      </c>
      <c r="B103" s="27" t="inlineStr">
        <is>
          <t>Cross-cutting &amp; Regression</t>
        </is>
      </c>
      <c r="C103" s="27" t="inlineStr">
        <is>
          <t>State persists across browser refresh</t>
        </is>
      </c>
      <c r="D103" s="27" t="inlineStr">
        <is>
          <t>REQ-REFRESH</t>
        </is>
      </c>
      <c r="E103" s="27" t="inlineStr">
        <is>
          <t>Medium</t>
        </is>
      </c>
    </row>
    <row r="104">
      <c r="A104" s="22" t="inlineStr">
        <is>
          <t>TC-REG-002</t>
        </is>
      </c>
      <c r="B104" s="23" t="inlineStr">
        <is>
          <t>Cross-cutting &amp; Regression</t>
        </is>
      </c>
      <c r="C104" s="23" t="inlineStr">
        <is>
          <t>Web/mobile feature parity</t>
        </is>
      </c>
      <c r="D104" s="23" t="inlineStr">
        <is>
          <t>REQ-Parity</t>
        </is>
      </c>
      <c r="E104" s="23" t="inlineStr">
        <is>
          <t>Low</t>
        </is>
      </c>
    </row>
    <row r="105">
      <c r="A105" s="26" t="inlineStr">
        <is>
          <t>TC-REG-003</t>
        </is>
      </c>
      <c r="B105" s="27" t="inlineStr">
        <is>
          <t>Cross-cutting &amp; Regression</t>
        </is>
      </c>
      <c r="C105" s="27" t="inlineStr">
        <is>
          <t>Key screens load within budget</t>
        </is>
      </c>
      <c r="D105" s="27" t="inlineStr">
        <is>
          <t>REQ-Perf</t>
        </is>
      </c>
      <c r="E105" s="27" t="inlineStr">
        <is>
          <t>Low</t>
        </is>
      </c>
    </row>
    <row r="106">
      <c r="A106" s="22" t="inlineStr">
        <is>
          <t>TC-CRM-001</t>
        </is>
      </c>
      <c r="B106" s="23" t="inlineStr">
        <is>
          <t>CRM Campaigns</t>
        </is>
      </c>
      <c r="C106" s="23" t="inlineStr">
        <is>
          <t>View / edit a draft campaign</t>
        </is>
      </c>
      <c r="D106" s="23" t="inlineStr">
        <is>
          <t>REQ-CRM-DraftView</t>
        </is>
      </c>
      <c r="E106" s="23" t="inlineStr">
        <is>
          <t>High</t>
        </is>
      </c>
    </row>
    <row r="107">
      <c r="A107" s="26" t="inlineStr">
        <is>
          <t>TC-CRM-002</t>
        </is>
      </c>
      <c r="B107" s="27" t="inlineStr">
        <is>
          <t>CRM Campaigns</t>
        </is>
      </c>
      <c r="C107" s="27" t="inlineStr">
        <is>
          <t>Non-draft campaign is read-only</t>
        </is>
      </c>
      <c r="D107" s="27" t="inlineStr">
        <is>
          <t>REQ-CRM-DraftView</t>
        </is>
      </c>
      <c r="E107" s="27" t="inlineStr">
        <is>
          <t>Medium</t>
        </is>
      </c>
    </row>
    <row r="108">
      <c r="A108" s="22" t="inlineStr">
        <is>
          <t>TC-NAV-001</t>
        </is>
      </c>
      <c r="B108" s="23" t="inlineStr">
        <is>
          <t>In-progress Navigation Guard</t>
        </is>
      </c>
      <c r="C108" s="23" t="inlineStr">
        <is>
          <t>Warn on navigate-away during import</t>
        </is>
      </c>
      <c r="D108" s="23" t="inlineStr">
        <is>
          <t>REQ-NAV-Guard</t>
        </is>
      </c>
      <c r="E108" s="23" t="inlineStr">
        <is>
          <t>Medium</t>
        </is>
      </c>
    </row>
    <row r="109">
      <c r="A109" s="26" t="inlineStr">
        <is>
          <t>TC-NAV-002</t>
        </is>
      </c>
      <c r="B109" s="27" t="inlineStr">
        <is>
          <t>In-progress Navigation Guard</t>
        </is>
      </c>
      <c r="C109" s="27" t="inlineStr">
        <is>
          <t>Warn on navigate-away during download</t>
        </is>
      </c>
      <c r="D109" s="27" t="inlineStr">
        <is>
          <t>REQ-NAV-Guard</t>
        </is>
      </c>
      <c r="E109" s="27" t="inlineStr">
        <is>
          <t>Low</t>
        </is>
      </c>
    </row>
    <row r="110">
      <c r="A110" s="22" t="inlineStr">
        <is>
          <t>TC-IMP-001</t>
        </is>
      </c>
      <c r="B110" s="23" t="inlineStr">
        <is>
          <t>Data Import (CSV)</t>
        </is>
      </c>
      <c r="C110" s="23" t="inlineStr">
        <is>
          <t>Large attendance import completes quickly</t>
        </is>
      </c>
      <c r="D110" s="23" t="inlineStr">
        <is>
          <t>REQ-IMP-Perf;REQ-BUG-ImportHang</t>
        </is>
      </c>
      <c r="E110" s="23" t="inlineStr">
        <is>
          <t>High</t>
        </is>
      </c>
    </row>
    <row r="111">
      <c r="A111" s="26" t="inlineStr">
        <is>
          <t>TC-IMP-002</t>
        </is>
      </c>
      <c r="B111" s="27" t="inlineStr">
        <is>
          <t>Data Import (CSV)</t>
        </is>
      </c>
      <c r="C111" s="27" t="inlineStr">
        <is>
          <t>Excel (.xlsx) upload is guided to CSV</t>
        </is>
      </c>
      <c r="D111" s="27" t="inlineStr">
        <is>
          <t>REQ-IMP-Excel</t>
        </is>
      </c>
      <c r="E111" s="27" t="inlineStr">
        <is>
          <t>Medium</t>
        </is>
      </c>
    </row>
    <row r="112">
      <c r="A112" s="22" t="inlineStr">
        <is>
          <t>TC-IMP-003</t>
        </is>
      </c>
      <c r="B112" s="23" t="inlineStr">
        <is>
          <t>Data Import (CSV)</t>
        </is>
      </c>
      <c r="C112" s="23" t="inlineStr">
        <is>
          <t>Import clubs &amp; activities</t>
        </is>
      </c>
      <c r="D112" s="23" t="inlineStr">
        <is>
          <t>REQ-IMP-Clubs</t>
        </is>
      </c>
      <c r="E112" s="23" t="inlineStr">
        <is>
          <t>Medium</t>
        </is>
      </c>
    </row>
    <row r="113">
      <c r="A113" s="26" t="inlineStr">
        <is>
          <t>TC-IMP-004</t>
        </is>
      </c>
      <c r="B113" s="27" t="inlineStr">
        <is>
          <t>Data Import (CSV)</t>
        </is>
      </c>
      <c r="C113" s="27" t="inlineStr">
        <is>
          <t>Import class timetables</t>
        </is>
      </c>
      <c r="D113" s="27" t="inlineStr">
        <is>
          <t>REQ-IMP-Timetable</t>
        </is>
      </c>
      <c r="E113" s="27" t="inlineStr">
        <is>
          <t>Medium</t>
        </is>
      </c>
    </row>
    <row r="114">
      <c r="A114" s="22" t="inlineStr">
        <is>
          <t>TC-IMP-005</t>
        </is>
      </c>
      <c r="B114" s="23" t="inlineStr">
        <is>
          <t>Data Import (CSV)</t>
        </is>
      </c>
      <c r="C114" s="23" t="inlineStr">
        <is>
          <t>Import behaviour records</t>
        </is>
      </c>
      <c r="D114" s="23" t="inlineStr">
        <is>
          <t>REQ-IMP-Behaviour</t>
        </is>
      </c>
      <c r="E114" s="23" t="inlineStr">
        <is>
          <t>Medium</t>
        </is>
      </c>
    </row>
    <row r="115">
      <c r="A115" s="26" t="inlineStr">
        <is>
          <t>TC-IMP-006</t>
        </is>
      </c>
      <c r="B115" s="27" t="inlineStr">
        <is>
          <t>Data Import (CSV)</t>
        </is>
      </c>
      <c r="C115" s="27" t="inlineStr">
        <is>
          <t>Import knowledge base documents</t>
        </is>
      </c>
      <c r="D115" s="27" t="inlineStr">
        <is>
          <t>REQ-IMP-Knowledge</t>
        </is>
      </c>
      <c r="E115" s="27" t="inlineStr">
        <is>
          <t>Low</t>
        </is>
      </c>
    </row>
    <row r="116">
      <c r="A116" s="22" t="inlineStr">
        <is>
          <t>TC-IMP-007</t>
        </is>
      </c>
      <c r="B116" s="23" t="inlineStr">
        <is>
          <t>Data Import (CSV)</t>
        </is>
      </c>
      <c r="C116" s="23" t="inlineStr">
        <is>
          <t>Download templates for new modules</t>
        </is>
      </c>
      <c r="D116" s="23" t="inlineStr">
        <is>
          <t>REQ-IMP-Templates</t>
        </is>
      </c>
      <c r="E116" s="23" t="inlineStr">
        <is>
          <t>Low</t>
        </is>
      </c>
    </row>
    <row r="117">
      <c r="A117" s="26" t="inlineStr">
        <is>
          <t>TC-IMP-008</t>
        </is>
      </c>
      <c r="B117" s="27" t="inlineStr">
        <is>
          <t>Data Import (CSV)</t>
        </is>
      </c>
      <c r="C117" s="27" t="inlineStr">
        <is>
          <t>Row-level validation &amp; error report</t>
        </is>
      </c>
      <c r="D117" s="27" t="inlineStr">
        <is>
          <t>REQ-IMP-Validation</t>
        </is>
      </c>
      <c r="E117" s="27" t="inlineStr">
        <is>
          <t>Medium</t>
        </is>
      </c>
    </row>
    <row r="118">
      <c r="A118" s="22" t="inlineStr">
        <is>
          <t>TC-IMP-009</t>
        </is>
      </c>
      <c r="B118" s="23" t="inlineStr">
        <is>
          <t>Data Import (CSV)</t>
        </is>
      </c>
      <c r="C118" s="23" t="inlineStr">
        <is>
          <t>Teacher import limited to permitted types</t>
        </is>
      </c>
      <c r="D118" s="23" t="inlineStr">
        <is>
          <t>REQ-IMP-TeacherScope</t>
        </is>
      </c>
      <c r="E118" s="23" t="inlineStr">
        <is>
          <t>High</t>
        </is>
      </c>
    </row>
    <row r="119">
      <c r="A119" s="26" t="inlineStr">
        <is>
          <t>TC-IMP-010</t>
        </is>
      </c>
      <c r="B119" s="27" t="inlineStr">
        <is>
          <t>Data Import (CSV)</t>
        </is>
      </c>
      <c r="C119" s="27" t="inlineStr">
        <is>
          <t>Teacher import rejects out-of-scope pupils</t>
        </is>
      </c>
      <c r="D119" s="27" t="inlineStr">
        <is>
          <t>REQ-IMP-TeacherScope</t>
        </is>
      </c>
      <c r="E119" s="27" t="inlineStr">
        <is>
          <t>High</t>
        </is>
      </c>
    </row>
    <row r="120">
      <c r="A120" s="22" t="inlineStr">
        <is>
          <t>TC-IMP-011</t>
        </is>
      </c>
      <c r="B120" s="23" t="inlineStr">
        <is>
          <t>Data Import (CSV)</t>
        </is>
      </c>
      <c r="C120" s="23" t="inlineStr">
        <is>
          <t>Teacher import history is scoped</t>
        </is>
      </c>
      <c r="D120" s="23" t="inlineStr">
        <is>
          <t>REQ-IMP-TeacherScope</t>
        </is>
      </c>
      <c r="E120" s="23" t="inlineStr">
        <is>
          <t>Medium</t>
        </is>
      </c>
    </row>
    <row r="121">
      <c r="A121" s="26" t="inlineStr">
        <is>
          <t>TC-IMP-012</t>
        </is>
      </c>
      <c r="B121" s="27" t="inlineStr">
        <is>
          <t>Data Import (CSV)</t>
        </is>
      </c>
      <c r="C121" s="27" t="inlineStr">
        <is>
          <t>Import tab visibility gated by permission</t>
        </is>
      </c>
      <c r="D121" s="27" t="inlineStr">
        <is>
          <t>REQ-IMP-TeacherScope</t>
        </is>
      </c>
      <c r="E121" s="27" t="inlineStr">
        <is>
          <t>Medium</t>
        </is>
      </c>
    </row>
    <row r="122">
      <c r="A122" s="22" t="inlineStr">
        <is>
          <t>TC-ATT-001</t>
        </is>
      </c>
      <c r="B122" s="23" t="inlineStr">
        <is>
          <t>Attendance</t>
        </is>
      </c>
      <c r="C122" s="23" t="inlineStr">
        <is>
          <t>Imported attendance is visible</t>
        </is>
      </c>
      <c r="D122" s="23" t="inlineStr">
        <is>
          <t>REQ-BUG-AttHidden</t>
        </is>
      </c>
      <c r="E122" s="23" t="inlineStr">
        <is>
          <t>High</t>
        </is>
      </c>
    </row>
    <row r="123">
      <c r="A123" s="26" t="inlineStr">
        <is>
          <t>TC-ATT-002</t>
        </is>
      </c>
      <c r="B123" s="27" t="inlineStr">
        <is>
          <t>Attendance</t>
        </is>
      </c>
      <c r="C123" s="27" t="inlineStr">
        <is>
          <t>Filter by day/week/month/term/year</t>
        </is>
      </c>
      <c r="D123" s="27" t="inlineStr">
        <is>
          <t>REQ-ATT-Filter</t>
        </is>
      </c>
      <c r="E123" s="27" t="inlineStr">
        <is>
          <t>High</t>
        </is>
      </c>
    </row>
    <row r="124">
      <c r="A124" s="22" t="inlineStr">
        <is>
          <t>TC-ATT-003</t>
        </is>
      </c>
      <c r="B124" s="23" t="inlineStr">
        <is>
          <t>Attendance</t>
        </is>
      </c>
      <c r="C124" s="23" t="inlineStr">
        <is>
          <t>Column sorting</t>
        </is>
      </c>
      <c r="D124" s="23" t="inlineStr">
        <is>
          <t>REQ-ATT-Sort</t>
        </is>
      </c>
      <c r="E124" s="23" t="inlineStr">
        <is>
          <t>Medium</t>
        </is>
      </c>
    </row>
    <row r="125">
      <c r="A125" s="26" t="inlineStr">
        <is>
          <t>TC-ATT-004</t>
        </is>
      </c>
      <c r="B125" s="27" t="inlineStr">
        <is>
          <t>Attendance</t>
        </is>
      </c>
      <c r="C125" s="27" t="inlineStr">
        <is>
          <t>Status filter and search</t>
        </is>
      </c>
      <c r="D125" s="27" t="inlineStr">
        <is>
          <t>REQ-ATT-Filter</t>
        </is>
      </c>
      <c r="E125" s="27" t="inlineStr">
        <is>
          <t>Low</t>
        </is>
      </c>
    </row>
    <row r="126">
      <c r="A126" s="22" t="inlineStr">
        <is>
          <t>TC-ATT-005</t>
        </is>
      </c>
      <c r="B126" s="23" t="inlineStr">
        <is>
          <t>Attendance</t>
        </is>
      </c>
      <c r="C126" s="23" t="inlineStr">
        <is>
          <t>Manual mark with date + pupil context</t>
        </is>
      </c>
      <c r="D126" s="23" t="inlineStr">
        <is>
          <t>REQ-ATT-Mark</t>
        </is>
      </c>
      <c r="E126" s="23" t="inlineStr">
        <is>
          <t>Medium</t>
        </is>
      </c>
    </row>
    <row r="127">
      <c r="A127" s="26" t="inlineStr">
        <is>
          <t>TC-ANL-001</t>
        </is>
      </c>
      <c r="B127" s="27" t="inlineStr">
        <is>
          <t>Super-Admin School Analytics</t>
        </is>
      </c>
      <c r="C127" s="27" t="inlineStr">
        <is>
          <t>Per-school analytics census</t>
        </is>
      </c>
      <c r="D127" s="27" t="inlineStr">
        <is>
          <t>REQ-ANL-Census</t>
        </is>
      </c>
      <c r="E127" s="27" t="inlineStr">
        <is>
          <t>High</t>
        </is>
      </c>
    </row>
    <row r="128">
      <c r="A128" s="22" t="inlineStr">
        <is>
          <t>TC-ANL-002</t>
        </is>
      </c>
      <c r="B128" s="23" t="inlineStr">
        <is>
          <t>Super-Admin School Analytics</t>
        </is>
      </c>
      <c r="C128" s="23" t="inlineStr">
        <is>
          <t>School and period filters</t>
        </is>
      </c>
      <c r="D128" s="23" t="inlineStr">
        <is>
          <t>REQ-ANL-Filters</t>
        </is>
      </c>
      <c r="E128" s="23" t="inlineStr">
        <is>
          <t>Medium</t>
        </is>
      </c>
    </row>
    <row r="129">
      <c r="A129" s="26" t="inlineStr">
        <is>
          <t>TC-ANL-003</t>
        </is>
      </c>
      <c r="B129" s="27" t="inlineStr">
        <is>
          <t>Super-Admin School Analytics</t>
        </is>
      </c>
      <c r="C129" s="27" t="inlineStr">
        <is>
          <t>Feature usage and login trend</t>
        </is>
      </c>
      <c r="D129" s="27" t="inlineStr">
        <is>
          <t>REQ-ANL-Trends</t>
        </is>
      </c>
      <c r="E129" s="27" t="inlineStr">
        <is>
          <t>Low</t>
        </is>
      </c>
    </row>
    <row r="130">
      <c r="A130" s="22" t="inlineStr">
        <is>
          <t>TC-ANL-004</t>
        </is>
      </c>
      <c r="B130" s="23" t="inlineStr">
        <is>
          <t>Super-Admin School Analytics</t>
        </is>
      </c>
      <c r="C130" s="23" t="inlineStr">
        <is>
          <t>Analytics CSV export (governed)</t>
        </is>
      </c>
      <c r="D130" s="23" t="inlineStr">
        <is>
          <t>REQ-ANL-Export;REQ-DLG</t>
        </is>
      </c>
      <c r="E130" s="23" t="inlineStr">
        <is>
          <t>Medium</t>
        </is>
      </c>
    </row>
    <row r="131">
      <c r="A131" s="26" t="inlineStr">
        <is>
          <t>TC-MSG-011</t>
        </is>
      </c>
      <c r="B131" s="27" t="inlineStr">
        <is>
          <t>Messaging</t>
        </is>
      </c>
      <c r="C131" s="27" t="inlineStr">
        <is>
          <t>Paste strips formatting</t>
        </is>
      </c>
      <c r="D131" s="27" t="inlineStr">
        <is>
          <t>REQ-MSG-Composer</t>
        </is>
      </c>
      <c r="E131" s="27" t="inlineStr">
        <is>
          <t>High</t>
        </is>
      </c>
    </row>
    <row r="132">
      <c r="A132" s="22" t="inlineStr">
        <is>
          <t>TC-MSG-012</t>
        </is>
      </c>
      <c r="B132" s="23" t="inlineStr">
        <is>
          <t>Messaging</t>
        </is>
      </c>
      <c r="C132" s="23" t="inlineStr">
        <is>
          <t>Formatting controls + placeholder</t>
        </is>
      </c>
      <c r="D132" s="23" t="inlineStr">
        <is>
          <t>REQ-MSG-Composer</t>
        </is>
      </c>
      <c r="E132" s="23" t="inlineStr">
        <is>
          <t>Medium</t>
        </is>
      </c>
    </row>
    <row r="133">
      <c r="A133" s="26" t="inlineStr">
        <is>
          <t>TC-MSG-013</t>
        </is>
      </c>
      <c r="B133" s="27" t="inlineStr">
        <is>
          <t>Messaging</t>
        </is>
      </c>
      <c r="C133" s="27" t="inlineStr">
        <is>
          <t>Regression: mentions/reactions/threads/sanitisation</t>
        </is>
      </c>
      <c r="D133" s="27" t="inlineStr">
        <is>
          <t>REQ-MSG-Composer;REQ-MSG-Sanitise</t>
        </is>
      </c>
      <c r="E133" s="27" t="inlineStr">
        <is>
          <t>High</t>
        </is>
      </c>
    </row>
  </sheetData>
  <autoFilter ref="A1:E1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2026-08-15T10:24:21Z</dcterms:created>
  <dcterms:modified xmlns:dcterms="http://purl.org/dc/terms/" xmlns:xsi="http://www.w3.org/2001/XMLSchema-instance" xsi:type="dcterms:W3CDTF">2026-08-15T10:24:22Z</dcterms:modified>
</cp:coreProperties>
</file>