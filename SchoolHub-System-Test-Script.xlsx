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Test Case Index" sheetId="3" state="visible" r:id="rId5"/>
    <sheet name="Detailed Steps" sheetId="4" state="visible" r:id="rId6"/>
    <sheet name="Traceability" sheetId="5" state="visible" r:id="rId7"/>
  </sheets>
  <definedNames>
    <definedName function="false" hidden="true" localSheetId="3" name="_xlnm._FilterDatabase" vbProcedure="false">'Detailed Steps'!$A$1:$J$190</definedName>
    <definedName function="false" hidden="true" localSheetId="2" name="_xlnm._FilterDatabase" vbProcedure="false">'Test Case Index'!$A$1:$O$105</definedName>
    <definedName function="false" hidden="true" localSheetId="4" name="_xlnm._FilterDatabase" vbProcedure="false">Traceability!$A$1:$E$105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<sst xmlns="http://schemas.openxmlformats.org/spreadsheetml/2006/main" count="2929" uniqueCount="1113">
  <si>
    <t xml:space="preserve">SchoolHub / SIPlat — System Test Script</t>
  </si>
  <si>
    <t xml:space="preserve">End-to-end system testing across all portals (web) and the mobile app</t>
  </si>
  <si>
    <t xml:space="preserve">Document</t>
  </si>
  <si>
    <t xml:space="preserve">System Test Script (SIT/UAT)</t>
  </si>
  <si>
    <t xml:space="preserve">Product</t>
  </si>
  <si>
    <t xml:space="preserve">SchoolHub / SIPlat — multi-tenant schools platform</t>
  </si>
  <si>
    <t xml:space="preserve">Version</t>
  </si>
  <si>
    <t xml:space="preserve">1.0</t>
  </si>
  <si>
    <t xml:space="preserve">Prepared</t>
  </si>
  <si>
    <t xml:space="preserve">2026-08-15</t>
  </si>
  <si>
    <t xml:space="preserve">Author</t>
  </si>
  <si>
    <t xml:space="preserve">QA / Delivery</t>
  </si>
  <si>
    <t xml:space="preserve">Environment</t>
  </si>
  <si>
    <t xml:space="preserve">____________________  (URL / build / device)</t>
  </si>
  <si>
    <t xml:space="preserve">Test data set</t>
  </si>
  <si>
    <t xml:space="preserve">____________________</t>
  </si>
  <si>
    <t xml:space="preserve">Scope</t>
  </si>
  <si>
    <t xml:space="preserve">Auth &amp; RBAC, Super-Admin, Commercial &amp; Activation, Account-Manager scoping, School-Admin, Teacher, Parent, Driver (web + mobile), Transport-Manager, Messaging, Download Governance, Notifications, Onboarding, Security/PII, Integrations, Support, and cross-cutting regression.</t>
  </si>
  <si>
    <t xml:space="preserve">Out of scope</t>
  </si>
  <si>
    <t xml:space="preserve">Load/soak, penetration testing, and third-party provider internals (covered by separate specialist test plans).</t>
  </si>
  <si>
    <t xml:space="preserve">How to use this workbook</t>
  </si>
  <si>
    <t xml:space="preserve">1. Test Case Index — one row per case. Fill Status, Tester, Date and Comments as you execute.</t>
  </si>
  <si>
    <t xml:space="preserve">2. Detailed Steps — numbered steps for every case with Action, Test Data and Expected Result; record Actual + per-step Status.</t>
  </si>
  <si>
    <t xml:space="preserve">3. Traceability — maps each case to a requirement/feature reference.</t>
  </si>
  <si>
    <t xml:space="preserve">4. Summary — live pass/fail roll-up by module (updates from the Index Status column).</t>
  </si>
  <si>
    <t xml:space="preserve">Status values: Pass · Fail · Blocked · In Progress · Not Run.  Raise a defect ID in Comments for any Fail.</t>
  </si>
  <si>
    <t xml:space="preserve">Legend</t>
  </si>
  <si>
    <t xml:space="preserve">High priority</t>
  </si>
  <si>
    <t xml:space="preserve">Medium priority</t>
  </si>
  <si>
    <t xml:space="preserve">Low priority</t>
  </si>
  <si>
    <t xml:space="preserve">Execution Summary</t>
  </si>
  <si>
    <t xml:space="preserve">Module</t>
  </si>
  <si>
    <t xml:space="preserve">Total</t>
  </si>
  <si>
    <t xml:space="preserve">Pass</t>
  </si>
  <si>
    <t xml:space="preserve">Fail</t>
  </si>
  <si>
    <t xml:space="preserve">Blocked</t>
  </si>
  <si>
    <t xml:space="preserve">In Progress</t>
  </si>
  <si>
    <t xml:space="preserve">Not Run</t>
  </si>
  <si>
    <t xml:space="preserve">Authentication &amp; Session</t>
  </si>
  <si>
    <t xml:space="preserve">Roles, Permissions &amp; Isolation</t>
  </si>
  <si>
    <t xml:space="preserve">Account Manager Scoping</t>
  </si>
  <si>
    <t xml:space="preserve">Super-Admin / Platform Mgmt</t>
  </si>
  <si>
    <t xml:space="preserve">Commercial &amp; Purchase Orders</t>
  </si>
  <si>
    <t xml:space="preserve">Invoice &amp; Activation Workflow</t>
  </si>
  <si>
    <t xml:space="preserve">Messaging</t>
  </si>
  <si>
    <t xml:space="preserve">Download Governance</t>
  </si>
  <si>
    <t xml:space="preserve">School-Admin Portal</t>
  </si>
  <si>
    <t xml:space="preserve">Teacher Portal</t>
  </si>
  <si>
    <t xml:space="preserve">Parent Portal</t>
  </si>
  <si>
    <t xml:space="preserve">Driver Portal (Web)</t>
  </si>
  <si>
    <t xml:space="preserve">Driver App (Mobile)</t>
  </si>
  <si>
    <t xml:space="preserve">Transport-Manager Portal</t>
  </si>
  <si>
    <t xml:space="preserve">Onboarding &amp; Profile Enforcement</t>
  </si>
  <si>
    <t xml:space="preserve">Notifications &amp; Preferences</t>
  </si>
  <si>
    <t xml:space="preserve">Security, PII &amp; Audit</t>
  </si>
  <si>
    <t xml:space="preserve">Integration Hub</t>
  </si>
  <si>
    <t xml:space="preserve">Support Tickets</t>
  </si>
  <si>
    <t xml:space="preserve">Mobile Platform / Bootstrap</t>
  </si>
  <si>
    <t xml:space="preserve">Cross-cutting &amp; Regression</t>
  </si>
  <si>
    <t xml:space="preserve">TOTAL</t>
  </si>
  <si>
    <t xml:space="preserve">Pass rate (of executed)</t>
  </si>
  <si>
    <t xml:space="preserve">Executed</t>
  </si>
  <si>
    <t xml:space="preserve">Coverage (cases)</t>
  </si>
  <si>
    <t xml:space="preserve">Case ID</t>
  </si>
  <si>
    <t xml:space="preserve">Sub-Area</t>
  </si>
  <si>
    <t xml:space="preserve">Title</t>
  </si>
  <si>
    <t xml:space="preserve">Priority</t>
  </si>
  <si>
    <t xml:space="preserve">Type</t>
  </si>
  <si>
    <t xml:space="preserve">Role / Actor</t>
  </si>
  <si>
    <t xml:space="preserve">Platform</t>
  </si>
  <si>
    <t xml:space="preserve">Preconditions</t>
  </si>
  <si>
    <t xml:space="preserve">Expected Result</t>
  </si>
  <si>
    <t xml:space="preserve">Req Ref</t>
  </si>
  <si>
    <t xml:space="preserve">Status</t>
  </si>
  <si>
    <t xml:space="preserve">Tester</t>
  </si>
  <si>
    <t xml:space="preserve">Date</t>
  </si>
  <si>
    <t xml:space="preserve">Comments</t>
  </si>
  <si>
    <t xml:space="preserve">TC-AUTH-001</t>
  </si>
  <si>
    <t xml:space="preserve">Login</t>
  </si>
  <si>
    <t xml:space="preserve">Valid sign-in with correct credentials</t>
  </si>
  <si>
    <t xml:space="preserve">High</t>
  </si>
  <si>
    <t xml:space="preserve">Functional</t>
  </si>
  <si>
    <t xml:space="preserve">Any registered user</t>
  </si>
  <si>
    <t xml:space="preserve">Both</t>
  </si>
  <si>
    <t xml:space="preserve">User account exists and is active; tenant is activated.</t>
  </si>
  <si>
    <t xml:space="preserve">User is authenticated and lands on their role home screen.</t>
  </si>
  <si>
    <t xml:space="preserve">REQ-SEC-Login</t>
  </si>
  <si>
    <t xml:space="preserve">TC-AUTH-002</t>
  </si>
  <si>
    <t xml:space="preserve">Reject invalid password</t>
  </si>
  <si>
    <t xml:space="preserve">Negative</t>
  </si>
  <si>
    <t xml:space="preserve">Any user</t>
  </si>
  <si>
    <t xml:space="preserve">Account exists.</t>
  </si>
  <si>
    <t xml:space="preserve">Sign-in is refused with a generic error; no token issued.</t>
  </si>
  <si>
    <t xml:space="preserve">TC-AUTH-003</t>
  </si>
  <si>
    <t xml:space="preserve">Lockout</t>
  </si>
  <si>
    <t xml:space="preserve">Account protection after repeated failures</t>
  </si>
  <si>
    <t xml:space="preserve">Medium</t>
  </si>
  <si>
    <t xml:space="preserve">Security</t>
  </si>
  <si>
    <t xml:space="preserve">Web</t>
  </si>
  <si>
    <t xml:space="preserve">Account exists; lockout policy configured.</t>
  </si>
  <si>
    <t xml:space="preserve">Account is temporarily locked / throttled after the configured number of failures.</t>
  </si>
  <si>
    <t xml:space="preserve">REQ-SEC-Policy</t>
  </si>
  <si>
    <t xml:space="preserve">TC-AUTH-004</t>
  </si>
  <si>
    <t xml:space="preserve">MFA</t>
  </si>
  <si>
    <t xml:space="preserve">Mandatory MFA enrolment</t>
  </si>
  <si>
    <t xml:space="preserve">User where policy requires MFA</t>
  </si>
  <si>
    <t xml:space="preserve">Security policy mfaRequired = true; user has no MFA yet.</t>
  </si>
  <si>
    <t xml:space="preserve">User is forced to enrol MFA before reaching the app.</t>
  </si>
  <si>
    <t xml:space="preserve">REQ-SEC-MFA</t>
  </si>
  <si>
    <t xml:space="preserve">TC-AUTH-005</t>
  </si>
  <si>
    <t xml:space="preserve">MFA challenge on login</t>
  </si>
  <si>
    <t xml:space="preserve">MFA-enrolled user</t>
  </si>
  <si>
    <t xml:space="preserve">User already enrolled in MFA.</t>
  </si>
  <si>
    <t xml:space="preserve">Login requires a valid TOTP; wrong codes rejected.</t>
  </si>
  <si>
    <t xml:space="preserve">TC-AUTH-006</t>
  </si>
  <si>
    <t xml:space="preserve">Password</t>
  </si>
  <si>
    <t xml:space="preserve">Forced password change on expiry</t>
  </si>
  <si>
    <t xml:space="preserve">User with expired password</t>
  </si>
  <si>
    <t xml:space="preserve">passwordChangedAt older than policy max age.</t>
  </si>
  <si>
    <t xml:space="preserve">User must set a new password before continuing.</t>
  </si>
  <si>
    <t xml:space="preserve">TC-AUTH-007</t>
  </si>
  <si>
    <t xml:space="preserve">Session</t>
  </si>
  <si>
    <t xml:space="preserve">Remember-me persists session</t>
  </si>
  <si>
    <t xml:space="preserve">Low</t>
  </si>
  <si>
    <t xml:space="preserve">Mobile</t>
  </si>
  <si>
    <t xml:space="preserve">User signs in with remember = true.</t>
  </si>
  <si>
    <t xml:space="preserve">Session restored on next app open without re-login.</t>
  </si>
  <si>
    <t xml:space="preserve">TC-AUTH-008</t>
  </si>
  <si>
    <t xml:space="preserve">Logout invalidates session</t>
  </si>
  <si>
    <t xml:space="preserve">User is signed in.</t>
  </si>
  <si>
    <t xml:space="preserve">Session ends and protected routes are inaccessible.</t>
  </si>
  <si>
    <t xml:space="preserve">TC-AUTH-009</t>
  </si>
  <si>
    <t xml:space="preserve">Biometric</t>
  </si>
  <si>
    <t xml:space="preserve">Biometric unlock on mobile</t>
  </si>
  <si>
    <t xml:space="preserve">Mobile user with biometrics</t>
  </si>
  <si>
    <t xml:space="preserve">Device has enrolled biometrics; prior remembered session.</t>
  </si>
  <si>
    <t xml:space="preserve">Biometric success restores the session.</t>
  </si>
  <si>
    <t xml:space="preserve">REQ-Mobile-Biometric</t>
  </si>
  <si>
    <t xml:space="preserve">TC-AUTH-010</t>
  </si>
  <si>
    <t xml:space="preserve">Self-service password reset</t>
  </si>
  <si>
    <t xml:space="preserve">Account exists with a valid email.</t>
  </si>
  <si>
    <t xml:space="preserve">Reset link path works and old password no longer authenticates.</t>
  </si>
  <si>
    <t xml:space="preserve">TC-RBAC-001</t>
  </si>
  <si>
    <t xml:space="preserve">Menu</t>
  </si>
  <si>
    <t xml:space="preserve">Role-appropriate navigation</t>
  </si>
  <si>
    <t xml:space="preserve">RBAC</t>
  </si>
  <si>
    <t xml:space="preserve">School Administrator</t>
  </si>
  <si>
    <t xml:space="preserve">User holds SchoolAdministrator role.</t>
  </si>
  <si>
    <t xml:space="preserve">Only permitted sections are visible.</t>
  </si>
  <si>
    <t xml:space="preserve">REQ-RBAC-Menu</t>
  </si>
  <si>
    <t xml:space="preserve">TC-RBAC-002</t>
  </si>
  <si>
    <t xml:space="preserve">Enforcement</t>
  </si>
  <si>
    <t xml:space="preserve">Deny unauthorized route access</t>
  </si>
  <si>
    <t xml:space="preserve">Low-privilege user</t>
  </si>
  <si>
    <t xml:space="preserve">User lacks the target permission.</t>
  </si>
  <si>
    <t xml:space="preserve">Direct navigation to a protected route is blocked.</t>
  </si>
  <si>
    <t xml:space="preserve">REQ-RBAC-Enforce</t>
  </si>
  <si>
    <t xml:space="preserve">TC-RBAC-003</t>
  </si>
  <si>
    <t xml:space="preserve">Override</t>
  </si>
  <si>
    <t xml:space="preserve">Tenant role override grants access</t>
  </si>
  <si>
    <t xml:space="preserve">Custom tenant role</t>
  </si>
  <si>
    <t xml:space="preserve">Tenant defines a TenantRole override adding a permission.</t>
  </si>
  <si>
    <t xml:space="preserve">The override is honoured at runtime.</t>
  </si>
  <si>
    <t xml:space="preserve">REQ-RBAC-Override</t>
  </si>
  <si>
    <t xml:space="preserve">TC-RBAC-004</t>
  </si>
  <si>
    <t xml:space="preserve">Platform-admin plane access</t>
  </si>
  <si>
    <t xml:space="preserve">Platform admin</t>
  </si>
  <si>
    <t xml:space="preserve">User is a platform admin.</t>
  </si>
  <si>
    <t xml:space="preserve">Platform staff areas are reachable; tenant users cannot reach them.</t>
  </si>
  <si>
    <t xml:space="preserve">REQ-RBAC-Platform</t>
  </si>
  <si>
    <t xml:space="preserve">TC-RBAC-005</t>
  </si>
  <si>
    <t xml:space="preserve">Isolation</t>
  </si>
  <si>
    <t xml:space="preserve">Cross-tenant access is blocked</t>
  </si>
  <si>
    <t xml:space="preserve">School Admin of Tenant A</t>
  </si>
  <si>
    <t xml:space="preserve">Two tenants A and B exist.</t>
  </si>
  <si>
    <t xml:space="preserve">Tenant A user cannot read Tenant B data.</t>
  </si>
  <si>
    <t xml:space="preserve">REQ-SEC-Isolation</t>
  </si>
  <si>
    <t xml:space="preserve">TC-RBAC-006</t>
  </si>
  <si>
    <t xml:space="preserve">Staff area</t>
  </si>
  <si>
    <t xml:space="preserve">Staff-area gate enforced</t>
  </si>
  <si>
    <t xml:space="preserve">Support staff</t>
  </si>
  <si>
    <t xml:space="preserve">assertStaffArea protects a staff-only area.</t>
  </si>
  <si>
    <t xml:space="preserve">Only staff-area members may enter.</t>
  </si>
  <si>
    <t xml:space="preserve">TC-AM-001</t>
  </si>
  <si>
    <t xml:space="preserve">AM sees only in-scope schools (geo)</t>
  </si>
  <si>
    <t xml:space="preserve">Account Manager</t>
  </si>
  <si>
    <t xml:space="preserve">AM has a county/country portfolio scope.</t>
  </si>
  <si>
    <t xml:space="preserve">School list is limited to the geographic scope.</t>
  </si>
  <si>
    <t xml:space="preserve">REQ-AM-Scope</t>
  </si>
  <si>
    <t xml:space="preserve">TC-AM-002</t>
  </si>
  <si>
    <t xml:space="preserve">AM explicit school assignment</t>
  </si>
  <si>
    <t xml:space="preserve">A school has accountManagerUserId = this AM but is outside geo scope.</t>
  </si>
  <si>
    <t xml:space="preserve">Explicitly assigned school is included.</t>
  </si>
  <si>
    <t xml:space="preserve">TC-AM-003</t>
  </si>
  <si>
    <t xml:space="preserve">Out-of-scope sub-route blocked</t>
  </si>
  <si>
    <t xml:space="preserve">A school is neither in geo scope nor explicitly assigned.</t>
  </si>
  <si>
    <t xml:space="preserve">AM cannot access that school's sub-routes.</t>
  </si>
  <si>
    <t xml:space="preserve">TC-AM-004</t>
  </si>
  <si>
    <t xml:space="preserve">Scoped school-id set correctness</t>
  </si>
  <si>
    <t xml:space="preserve">Mixed in/out-of-scope schools exist.</t>
  </si>
  <si>
    <t xml:space="preserve">ctx.scopedSchoolIds equals geo ∪ explicit.</t>
  </si>
  <si>
    <t xml:space="preserve">TC-SADM-001</t>
  </si>
  <si>
    <t xml:space="preserve">Schools</t>
  </si>
  <si>
    <t xml:space="preserve">School list view</t>
  </si>
  <si>
    <t xml:space="preserve">Super Admin</t>
  </si>
  <si>
    <t xml:space="preserve">Multiple tenants exist.</t>
  </si>
  <si>
    <t xml:space="preserve">All schools listed with key status columns.</t>
  </si>
  <si>
    <t xml:space="preserve">REQ-SA-Schools</t>
  </si>
  <si>
    <t xml:space="preserve">TC-SADM-002</t>
  </si>
  <si>
    <t xml:space="preserve">Detail</t>
  </si>
  <si>
    <t xml:space="preserve">School detail view</t>
  </si>
  <si>
    <t xml:space="preserve">A school exists.</t>
  </si>
  <si>
    <t xml:space="preserve">Detail view shows profile, commercial and activation information.</t>
  </si>
  <si>
    <t xml:space="preserve">TC-SADM-003</t>
  </si>
  <si>
    <t xml:space="preserve">Actions</t>
  </si>
  <si>
    <t xml:space="preserve">Row action (3-dot) menu</t>
  </si>
  <si>
    <t xml:space="preserve">A school row is visible.</t>
  </si>
  <si>
    <t xml:space="preserve">Contextual actions are available and function.</t>
  </si>
  <si>
    <t xml:space="preserve">TC-SADM-004</t>
  </si>
  <si>
    <t xml:space="preserve">Tenant</t>
  </si>
  <si>
    <t xml:space="preserve">Create a new tenant/school</t>
  </si>
  <si>
    <t xml:space="preserve">Operator has create rights.</t>
  </si>
  <si>
    <t xml:space="preserve">New tenant is created in pending activation state.</t>
  </si>
  <si>
    <t xml:space="preserve">REQ-SA-Onboard</t>
  </si>
  <si>
    <t xml:space="preserve">TC-SADM-005</t>
  </si>
  <si>
    <t xml:space="preserve">Lifecycle</t>
  </si>
  <si>
    <t xml:space="preserve">Suspend and reactivate a school</t>
  </si>
  <si>
    <t xml:space="preserve">An active school exists.</t>
  </si>
  <si>
    <t xml:space="preserve">Suspension blocks access; reactivation restores it.</t>
  </si>
  <si>
    <t xml:space="preserve">TC-COMM-001</t>
  </si>
  <si>
    <t xml:space="preserve">PO</t>
  </si>
  <si>
    <t xml:space="preserve">Create PO with per-school × term pricing</t>
  </si>
  <si>
    <t xml:space="preserve">Super Admin / Account Manager</t>
  </si>
  <si>
    <t xml:space="preserve">A school and its pupil count / term config exist.</t>
  </si>
  <si>
    <t xml:space="preserve">PO total = per-school annual × term − discount.</t>
  </si>
  <si>
    <t xml:space="preserve">REQ-COMM-PO</t>
  </si>
  <si>
    <t xml:space="preserve">TC-COMM-002</t>
  </si>
  <si>
    <t xml:space="preserve">Apply a discount</t>
  </si>
  <si>
    <t xml:space="preserve">A PO draft exists.</t>
  </si>
  <si>
    <t xml:space="preserve">Discount reduces the total correctly.</t>
  </si>
  <si>
    <t xml:space="preserve">TC-COMM-003</t>
  </si>
  <si>
    <t xml:space="preserve">PO reference generation</t>
  </si>
  <si>
    <t xml:space="preserve">System</t>
  </si>
  <si>
    <t xml:space="preserve">A PO is created.</t>
  </si>
  <si>
    <t xml:space="preserve">A unique, well-formed PO reference is assigned.</t>
  </si>
  <si>
    <t xml:space="preserve">TC-COMM-004</t>
  </si>
  <si>
    <t xml:space="preserve">Branded PO PDF export</t>
  </si>
  <si>
    <t xml:space="preserve">A PO exists.</t>
  </si>
  <si>
    <t xml:space="preserve">A branded PDF with correct figures downloads and is audited.</t>
  </si>
  <si>
    <t xml:space="preserve">REQ-COMM-PO;REQ-DLG</t>
  </si>
  <si>
    <t xml:space="preserve">TC-COMM-005</t>
  </si>
  <si>
    <t xml:space="preserve">PO actions</t>
  </si>
  <si>
    <t xml:space="preserve">A PO exists in an actionable state.</t>
  </si>
  <si>
    <t xml:space="preserve">Approve/cancel/resend transition state and are audited.</t>
  </si>
  <si>
    <t xml:space="preserve">TC-COMM-006</t>
  </si>
  <si>
    <t xml:space="preserve">PO list filters persist</t>
  </si>
  <si>
    <t xml:space="preserve">Multiple POs exist.</t>
  </si>
  <si>
    <t xml:space="preserve">Filters persist across refresh (usePersistentState).</t>
  </si>
  <si>
    <t xml:space="preserve">REQ-COMM-PO;REQ-REFRESH</t>
  </si>
  <si>
    <t xml:space="preserve">TC-ACT-001</t>
  </si>
  <si>
    <t xml:space="preserve">Gate</t>
  </si>
  <si>
    <t xml:space="preserve">New tenant starts pending</t>
  </si>
  <si>
    <t xml:space="preserve">New tenant admin</t>
  </si>
  <si>
    <t xml:space="preserve">Tenant just created.</t>
  </si>
  <si>
    <t xml:space="preserve">activationStatus = pending; access gated.</t>
  </si>
  <si>
    <t xml:space="preserve">REQ-ACT-Gate</t>
  </si>
  <si>
    <t xml:space="preserve">TC-ACT-002</t>
  </si>
  <si>
    <t xml:space="preserve">Existing tenants grandfathered active</t>
  </si>
  <si>
    <t xml:space="preserve">Existing tenant admin</t>
  </si>
  <si>
    <t xml:space="preserve">Tenant predates the activation feature.</t>
  </si>
  <si>
    <t xml:space="preserve">activationStatus defaults to activated; no gate.</t>
  </si>
  <si>
    <t xml:space="preserve">TC-ACT-003</t>
  </si>
  <si>
    <t xml:space="preserve">Invoice</t>
  </si>
  <si>
    <t xml:space="preserve">Submit payment / invoice proof</t>
  </si>
  <si>
    <t xml:space="preserve">Tenant admin</t>
  </si>
  <si>
    <t xml:space="preserve">Tenant is pending.</t>
  </si>
  <si>
    <t xml:space="preserve">Payment submission is recorded for review.</t>
  </si>
  <si>
    <t xml:space="preserve">REQ-ACT-Invoice</t>
  </si>
  <si>
    <t xml:space="preserve">TC-ACT-004</t>
  </si>
  <si>
    <t xml:space="preserve">Rejected payment allows resubmit</t>
  </si>
  <si>
    <t xml:space="preserve">A payment was submitted and rejected.</t>
  </si>
  <si>
    <t xml:space="preserve">canUpload re-enables so the admin can resubmit.</t>
  </si>
  <si>
    <t xml:space="preserve">TC-ACT-005</t>
  </si>
  <si>
    <t xml:space="preserve">Manual</t>
  </si>
  <si>
    <t xml:space="preserve">Manual activation with justification</t>
  </si>
  <si>
    <t xml:space="preserve">A pending tenant exists.</t>
  </si>
  <si>
    <t xml:space="preserve">Manual activation requires a business justification and is logged.</t>
  </si>
  <si>
    <t xml:space="preserve">REQ-ACT-Manual</t>
  </si>
  <si>
    <t xml:space="preserve">TC-ACT-006</t>
  </si>
  <si>
    <t xml:space="preserve">History</t>
  </si>
  <si>
    <t xml:space="preserve">Activation history log</t>
  </si>
  <si>
    <t xml:space="preserve">Activation events occurred.</t>
  </si>
  <si>
    <t xml:space="preserve">Full activation history is viewable.</t>
  </si>
  <si>
    <t xml:space="preserve">TC-ACT-007</t>
  </si>
  <si>
    <t xml:space="preserve">Non-admin gate is limited</t>
  </si>
  <si>
    <t xml:space="preserve">Non-admin in pending tenant</t>
  </si>
  <si>
    <t xml:space="preserve">Tenant pending; user is a non-admin member.</t>
  </si>
  <si>
    <t xml:space="preserve">Non-admin sees terms/tour/policies only, not the activation enforcement.</t>
  </si>
  <si>
    <t xml:space="preserve">REQ-ACT-Gate;REQ-ONB</t>
  </si>
  <si>
    <t xml:space="preserve">TC-MSG-001</t>
  </si>
  <si>
    <t xml:space="preserve">Direct</t>
  </si>
  <si>
    <t xml:space="preserve">Send a 1:1 message</t>
  </si>
  <si>
    <t xml:space="preserve">Any messaging user</t>
  </si>
  <si>
    <t xml:space="preserve">Two users share a messaging context.</t>
  </si>
  <si>
    <t xml:space="preserve">Message delivers and appears for both.</t>
  </si>
  <si>
    <t xml:space="preserve">REQ-MSG-DM</t>
  </si>
  <si>
    <t xml:space="preserve">TC-MSG-002</t>
  </si>
  <si>
    <t xml:space="preserve">Group</t>
  </si>
  <si>
    <t xml:space="preserve">Create a group chat</t>
  </si>
  <si>
    <t xml:space="preserve">Multiple eligible members exist.</t>
  </si>
  <si>
    <t xml:space="preserve">Group thread is created with members.</t>
  </si>
  <si>
    <t xml:space="preserve">REQ-MSG-Group</t>
  </si>
  <si>
    <t xml:space="preserve">TC-MSG-003</t>
  </si>
  <si>
    <t xml:space="preserve">Manage members / rename / leave</t>
  </si>
  <si>
    <t xml:space="preserve">Group member</t>
  </si>
  <si>
    <t xml:space="preserve">A group thread exists.</t>
  </si>
  <si>
    <t xml:space="preserve">Add/remove/rename/leave behave correctly.</t>
  </si>
  <si>
    <t xml:space="preserve">TC-MSG-004</t>
  </si>
  <si>
    <t xml:space="preserve">Mention</t>
  </si>
  <si>
    <t xml:space="preserve">@mention notifies the user</t>
  </si>
  <si>
    <t xml:space="preserve">A thread with multiple members.</t>
  </si>
  <si>
    <t xml:space="preserve">Mentioned user is notified.</t>
  </si>
  <si>
    <t xml:space="preserve">REQ-MSG-Mention</t>
  </si>
  <si>
    <t xml:space="preserve">TC-MSG-005</t>
  </si>
  <si>
    <t xml:space="preserve">Thread</t>
  </si>
  <si>
    <t xml:space="preserve">Reply to a message</t>
  </si>
  <si>
    <t xml:space="preserve">A message exists.</t>
  </si>
  <si>
    <t xml:space="preserve">Reply references its parent.</t>
  </si>
  <si>
    <t xml:space="preserve">REQ-MSG-Thread</t>
  </si>
  <si>
    <t xml:space="preserve">TC-MSG-006</t>
  </si>
  <si>
    <t xml:space="preserve">Reaction</t>
  </si>
  <si>
    <t xml:space="preserve">React to a message</t>
  </si>
  <si>
    <t xml:space="preserve">Reaction toggles and is visible.</t>
  </si>
  <si>
    <t xml:space="preserve">REQ-MSG-React</t>
  </si>
  <si>
    <t xml:space="preserve">TC-MSG-007</t>
  </si>
  <si>
    <t xml:space="preserve">Unread</t>
  </si>
  <si>
    <t xml:space="preserve">Read receipts / unread counts</t>
  </si>
  <si>
    <t xml:space="preserve">Unread messages exist.</t>
  </si>
  <si>
    <t xml:space="preserve">Opening a thread updates lastReadAt and clears the count.</t>
  </si>
  <si>
    <t xml:space="preserve">TC-MSG-008</t>
  </si>
  <si>
    <t xml:space="preserve">Attachment</t>
  </si>
  <si>
    <t xml:space="preserve">Send an attachment</t>
  </si>
  <si>
    <t xml:space="preserve">User has a file/image to attach.</t>
  </si>
  <si>
    <t xml:space="preserve">Attachment sends within size limits.</t>
  </si>
  <si>
    <t xml:space="preserve">TC-MSG-009</t>
  </si>
  <si>
    <t xml:space="preserve">HTML sanitisation blocks XSS</t>
  </si>
  <si>
    <t xml:space="preserve">Messaging renders rich text.</t>
  </si>
  <si>
    <t xml:space="preserve">Malicious markup is neutralised.</t>
  </si>
  <si>
    <t xml:space="preserve">REQ-MSG-Sanitise;REQ-SEC</t>
  </si>
  <si>
    <t xml:space="preserve">TC-MSG-010</t>
  </si>
  <si>
    <t xml:space="preserve">Mobile DM parity</t>
  </si>
  <si>
    <t xml:space="preserve">Teacher / Driver / Admin</t>
  </si>
  <si>
    <t xml:space="preserve">User has the Messages tab.</t>
  </si>
  <si>
    <t xml:space="preserve">Mobile DM matches web behaviour.</t>
  </si>
  <si>
    <t xml:space="preserve">REQ-MSG-DM;REQ-MOB</t>
  </si>
  <si>
    <t xml:space="preserve">TC-DLG-001</t>
  </si>
  <si>
    <t xml:space="preserve">PDF</t>
  </si>
  <si>
    <t xml:space="preserve">Branded PDF with metadata</t>
  </si>
  <si>
    <t xml:space="preserve">Any exporter</t>
  </si>
  <si>
    <t xml:space="preserve">A report/screen offers PDF export.</t>
  </si>
  <si>
    <t xml:space="preserve">PDF carries brand template + metadata + audit.</t>
  </si>
  <si>
    <t xml:space="preserve">REQ-DLG</t>
  </si>
  <si>
    <t xml:space="preserve">TC-DLG-002</t>
  </si>
  <si>
    <t xml:space="preserve">Excel</t>
  </si>
  <si>
    <t xml:space="preserve">Excel export metadata sheet</t>
  </si>
  <si>
    <t xml:space="preserve">A screen offers Excel export.</t>
  </si>
  <si>
    <t xml:space="preserve">Workbook includes a metadata sheet.</t>
  </si>
  <si>
    <t xml:space="preserve">TC-DLG-003</t>
  </si>
  <si>
    <t xml:space="preserve">CSV</t>
  </si>
  <si>
    <t xml:space="preserve">CSV metadata stamp</t>
  </si>
  <si>
    <t xml:space="preserve">A screen offers CSV export.</t>
  </si>
  <si>
    <t xml:space="preserve">CSV is stamped with metadata header rows.</t>
  </si>
  <si>
    <t xml:space="preserve">TC-DLG-004</t>
  </si>
  <si>
    <t xml:space="preserve">Audit</t>
  </si>
  <si>
    <t xml:space="preserve">Download audit trail</t>
  </si>
  <si>
    <t xml:space="preserve">Compliance reviewer</t>
  </si>
  <si>
    <t xml:space="preserve">Downloads have occurred.</t>
  </si>
  <si>
    <t xml:space="preserve">Every governed download is auditable.</t>
  </si>
  <si>
    <t xml:space="preserve">REQ-DLG;REQ-SEC</t>
  </si>
  <si>
    <t xml:space="preserve">TC-DLG-005</t>
  </si>
  <si>
    <t xml:space="preserve">Retrofit</t>
  </si>
  <si>
    <t xml:space="preserve">Deep-route export governance</t>
  </si>
  <si>
    <t xml:space="preserve">Regression</t>
  </si>
  <si>
    <t xml:space="preserve">Reports/policies/trust-acks/import-template/messaging-delivery exports exist.</t>
  </si>
  <si>
    <t xml:space="preserve">Deep-nested export routes also apply governance (on-device pass).</t>
  </si>
  <si>
    <t xml:space="preserve">TC-SCH-001</t>
  </si>
  <si>
    <t xml:space="preserve">Dashboard</t>
  </si>
  <si>
    <t xml:space="preserve">School-admin dashboard loads</t>
  </si>
  <si>
    <t xml:space="preserve">Admin signed in.</t>
  </si>
  <si>
    <t xml:space="preserve">Dashboard KPIs render without error.</t>
  </si>
  <si>
    <t xml:space="preserve">REQ-SCH</t>
  </si>
  <si>
    <t xml:space="preserve">TC-SCH-002</t>
  </si>
  <si>
    <t xml:space="preserve">Parity</t>
  </si>
  <si>
    <t xml:space="preserve">Admin has all Transport-Manager sections</t>
  </si>
  <si>
    <t xml:space="preserve">TM sections exist.</t>
  </si>
  <si>
    <t xml:space="preserve">School Admin's Transport tab exposes full TM parity.</t>
  </si>
  <si>
    <t xml:space="preserve">REQ-SCH-TMParity</t>
  </si>
  <si>
    <t xml:space="preserve">TC-SCH-003</t>
  </si>
  <si>
    <t xml:space="preserve">Invitations</t>
  </si>
  <si>
    <t xml:space="preserve">Invite a member with a role</t>
  </si>
  <si>
    <t xml:space="preserve">Admin has invite rights.</t>
  </si>
  <si>
    <t xml:space="preserve">Invitation issues with the chosen RBAC role.</t>
  </si>
  <si>
    <t xml:space="preserve">REQ-SCH-Invite</t>
  </si>
  <si>
    <t xml:space="preserve">TC-SCH-004</t>
  </si>
  <si>
    <t xml:space="preserve">Announcements</t>
  </si>
  <si>
    <t xml:space="preserve">Create an announcement</t>
  </si>
  <si>
    <t xml:space="preserve">Announcement publishes to the target audience.</t>
  </si>
  <si>
    <t xml:space="preserve">REQ-ANN</t>
  </si>
  <si>
    <t xml:space="preserve">TC-SCH-005</t>
  </si>
  <si>
    <t xml:space="preserve">Calendar</t>
  </si>
  <si>
    <t xml:space="preserve">Manage events</t>
  </si>
  <si>
    <t xml:space="preserve">Events create/edit and appear for parents.</t>
  </si>
  <si>
    <t xml:space="preserve">REQ-CAL</t>
  </si>
  <si>
    <t xml:space="preserve">TC-TCH-001</t>
  </si>
  <si>
    <t xml:space="preserve">Teacher dashboard</t>
  </si>
  <si>
    <t xml:space="preserve">Teacher</t>
  </si>
  <si>
    <t xml:space="preserve">Teacher signed in.</t>
  </si>
  <si>
    <t xml:space="preserve">Class overview renders.</t>
  </si>
  <si>
    <t xml:space="preserve">REQ-TCH</t>
  </si>
  <si>
    <t xml:space="preserve">TC-TCH-002</t>
  </si>
  <si>
    <t xml:space="preserve">Trips</t>
  </si>
  <si>
    <t xml:space="preserve">Manage a trip</t>
  </si>
  <si>
    <t xml:space="preserve">Teacher owns a trip.</t>
  </si>
  <si>
    <t xml:space="preserve">Consents and roster update.</t>
  </si>
  <si>
    <t xml:space="preserve">REQ-TCH-Trips</t>
  </si>
  <si>
    <t xml:space="preserve">TC-TCH-003</t>
  </si>
  <si>
    <t xml:space="preserve">Reports</t>
  </si>
  <si>
    <t xml:space="preserve">Create a pupil report</t>
  </si>
  <si>
    <t xml:space="preserve">Reporting cycle open.</t>
  </si>
  <si>
    <t xml:space="preserve">Report saves and can be finalised.</t>
  </si>
  <si>
    <t xml:space="preserve">REQ-RPT</t>
  </si>
  <si>
    <t xml:space="preserve">TC-TCH-004</t>
  </si>
  <si>
    <t xml:space="preserve">Behaviour</t>
  </si>
  <si>
    <t xml:space="preserve">Award merit / behaviour point</t>
  </si>
  <si>
    <t xml:space="preserve">Pupil exists.</t>
  </si>
  <si>
    <t xml:space="preserve">Behaviour point recorded and visible to parent.</t>
  </si>
  <si>
    <t xml:space="preserve">REQ-BEH</t>
  </si>
  <si>
    <t xml:space="preserve">TC-PAR-001</t>
  </si>
  <si>
    <t xml:space="preserve">Parent dashboard &amp; children</t>
  </si>
  <si>
    <t xml:space="preserve">Parent</t>
  </si>
  <si>
    <t xml:space="preserve">Parent linked to children.</t>
  </si>
  <si>
    <t xml:space="preserve">Children summary renders.</t>
  </si>
  <si>
    <t xml:space="preserve">REQ-PAR</t>
  </si>
  <si>
    <t xml:space="preserve">TC-PAR-002</t>
  </si>
  <si>
    <t xml:space="preserve">Consent</t>
  </si>
  <si>
    <t xml:space="preserve">Consent to a trip</t>
  </si>
  <si>
    <t xml:space="preserve">A trip requires consent.</t>
  </si>
  <si>
    <t xml:space="preserve">Consent is captured.</t>
  </si>
  <si>
    <t xml:space="preserve">REQ-PAR-Consent</t>
  </si>
  <si>
    <t xml:space="preserve">TC-PAR-003</t>
  </si>
  <si>
    <t xml:space="preserve">Transport</t>
  </si>
  <si>
    <t xml:space="preserve">Live transport tracking</t>
  </si>
  <si>
    <t xml:space="preserve">Child assigned to a running journey.</t>
  </si>
  <si>
    <t xml:space="preserve">Approximate live position shown during the journey only.</t>
  </si>
  <si>
    <t xml:space="preserve">REQ-PAR-Transport;REQ-Safeguard</t>
  </si>
  <si>
    <t xml:space="preserve">TC-PAR-004</t>
  </si>
  <si>
    <t xml:space="preserve">AI</t>
  </si>
  <si>
    <t xml:space="preserve">AI assistant scoped to own children</t>
  </si>
  <si>
    <t xml:space="preserve">AI subscription active.</t>
  </si>
  <si>
    <t xml:space="preserve">Assistant answers only about the parent's children.</t>
  </si>
  <si>
    <t xml:space="preserve">REQ-PAR-AI</t>
  </si>
  <si>
    <t xml:space="preserve">TC-PAR-005</t>
  </si>
  <si>
    <t xml:space="preserve">Notifications</t>
  </si>
  <si>
    <t xml:space="preserve">Notification preferences persist</t>
  </si>
  <si>
    <t xml:space="preserve">Parent signed in.</t>
  </si>
  <si>
    <t xml:space="preserve">Preference changes are saved.</t>
  </si>
  <si>
    <t xml:space="preserve">REQ-NOTIF</t>
  </si>
  <si>
    <t xml:space="preserve">TC-DRV-001</t>
  </si>
  <si>
    <t xml:space="preserve">Journeys</t>
  </si>
  <si>
    <t xml:space="preserve">Driver web journeys / start-stop</t>
  </si>
  <si>
    <t xml:space="preserve">Driver</t>
  </si>
  <si>
    <t xml:space="preserve">Driver assigned journeys.</t>
  </si>
  <si>
    <t xml:space="preserve">Start/stop notifies office and parents.</t>
  </si>
  <si>
    <t xml:space="preserve">REQ-DRV</t>
  </si>
  <si>
    <t xml:space="preserve">TC-DRV-002</t>
  </si>
  <si>
    <t xml:space="preserve">Incident</t>
  </si>
  <si>
    <t xml:space="preserve">Raise an incident (web)</t>
  </si>
  <si>
    <t xml:space="preserve">Driver signed in.</t>
  </si>
  <si>
    <t xml:space="preserve">Incident is created (journey-less allowed).</t>
  </si>
  <si>
    <t xml:space="preserve">REQ-DRV-Incident</t>
  </si>
  <si>
    <t xml:space="preserve">TC-DRV-003</t>
  </si>
  <si>
    <t xml:space="preserve">Fleet</t>
  </si>
  <si>
    <t xml:space="preserve">Vehicle / fleet log</t>
  </si>
  <si>
    <t xml:space="preserve">Vehicles exist for the school.</t>
  </si>
  <si>
    <t xml:space="preserve">Vehicle status &amp; compliance shown.</t>
  </si>
  <si>
    <t xml:space="preserve">REQ-DRV-Fleet</t>
  </si>
  <si>
    <t xml:space="preserve">TC-DRV-004</t>
  </si>
  <si>
    <t xml:space="preserve">Travel log renders with null session</t>
  </si>
  <si>
    <t xml:space="preserve">Transport Manager / Admin</t>
  </si>
  <si>
    <t xml:space="preserve">A travel-log row has a null 'session'.</t>
  </si>
  <si>
    <t xml:space="preserve">No client-side exception; value degrades gracefully.</t>
  </si>
  <si>
    <t xml:space="preserve">REQ-BUG-TravelLog</t>
  </si>
  <si>
    <t xml:space="preserve">TC-DRVM-001</t>
  </si>
  <si>
    <t xml:space="preserve">Bootstrap</t>
  </si>
  <si>
    <t xml:space="preserve">Driver resolves to Driver app</t>
  </si>
  <si>
    <t xml:space="preserve">Driver (also holds admin role)</t>
  </si>
  <si>
    <t xml:space="preserve">Account holds Driver plus an admin-level role (e.g. de.sobra.ltd@gmail.com).</t>
  </si>
  <si>
    <t xml:space="preserve">appRole = driver; the driver app loads.</t>
  </si>
  <si>
    <t xml:space="preserve">REQ-BUG-DriverRole</t>
  </si>
  <si>
    <t xml:space="preserve">TC-DRVM-002</t>
  </si>
  <si>
    <t xml:space="preserve">Navigation</t>
  </si>
  <si>
    <t xml:space="preserve">Driver tabs present</t>
  </si>
  <si>
    <t xml:space="preserve">Driver signed in on mobile.</t>
  </si>
  <si>
    <t xml:space="preserve">All key driver tabs are available.</t>
  </si>
  <si>
    <t xml:space="preserve">REQ-DRV-Mobile</t>
  </si>
  <si>
    <t xml:space="preserve">TC-DRVM-003</t>
  </si>
  <si>
    <t xml:space="preserve">Today's journeys start/complete</t>
  </si>
  <si>
    <t xml:space="preserve">Assigned journeys today.</t>
  </si>
  <si>
    <t xml:space="preserve">Start/complete update and notify.</t>
  </si>
  <si>
    <t xml:space="preserve">TC-DRVM-004</t>
  </si>
  <si>
    <t xml:space="preserve">Report an incident (mobile)</t>
  </si>
  <si>
    <t xml:space="preserve">Incident submits and lists.</t>
  </si>
  <si>
    <t xml:space="preserve">TC-DRVM-005</t>
  </si>
  <si>
    <t xml:space="preserve">Journey log</t>
  </si>
  <si>
    <t xml:space="preserve">Journey history</t>
  </si>
  <si>
    <t xml:space="preserve">Driver has past journeys.</t>
  </si>
  <si>
    <t xml:space="preserve">History renders with counts.</t>
  </si>
  <si>
    <t xml:space="preserve">TC-DRVM-006</t>
  </si>
  <si>
    <t xml:space="preserve">Search</t>
  </si>
  <si>
    <t xml:space="preserve">Debounced driver search</t>
  </si>
  <si>
    <t xml:space="preserve">Data to search exists.</t>
  </si>
  <si>
    <t xml:space="preserve">Grouped results after debounce.</t>
  </si>
  <si>
    <t xml:space="preserve">TC-DRVM-007</t>
  </si>
  <si>
    <t xml:space="preserve">Help</t>
  </si>
  <si>
    <t xml:space="preserve">Help &amp; support tickets</t>
  </si>
  <si>
    <t xml:space="preserve">Support ticket flow works from Help.</t>
  </si>
  <si>
    <t xml:space="preserve">REQ-SUP;REQ-DRV-Mobile</t>
  </si>
  <si>
    <t xml:space="preserve">TC-TM-001</t>
  </si>
  <si>
    <t xml:space="preserve">TM dashboard</t>
  </si>
  <si>
    <t xml:space="preserve">Transport Manager</t>
  </si>
  <si>
    <t xml:space="preserve">TM signed in.</t>
  </si>
  <si>
    <t xml:space="preserve">Operational KPIs render.</t>
  </si>
  <si>
    <t xml:space="preserve">REQ-TM</t>
  </si>
  <si>
    <t xml:space="preserve">TC-TM-002</t>
  </si>
  <si>
    <t xml:space="preserve">Control</t>
  </si>
  <si>
    <t xml:space="preserve">Live control room</t>
  </si>
  <si>
    <t xml:space="preserve">Journeys in progress.</t>
  </si>
  <si>
    <t xml:space="preserve">Live journeys are monitored.</t>
  </si>
  <si>
    <t xml:space="preserve">TC-TM-003</t>
  </si>
  <si>
    <t xml:space="preserve">Travel logs</t>
  </si>
  <si>
    <t xml:space="preserve">Travel logs view</t>
  </si>
  <si>
    <t xml:space="preserve">Historic travel data exists.</t>
  </si>
  <si>
    <t xml:space="preserve">Logs render (incl. null-session safety).</t>
  </si>
  <si>
    <t xml:space="preserve">REQ-TM;REQ-BUG-TravelLog</t>
  </si>
  <si>
    <t xml:space="preserve">TC-TM-004</t>
  </si>
  <si>
    <t xml:space="preserve">Incidents</t>
  </si>
  <si>
    <t xml:space="preserve">Manage incidents</t>
  </si>
  <si>
    <t xml:space="preserve">Incidents were raised.</t>
  </si>
  <si>
    <t xml:space="preserve">TM can view/triage incidents.</t>
  </si>
  <si>
    <t xml:space="preserve">REQ-TM;REQ-DRV-Incident</t>
  </si>
  <si>
    <t xml:space="preserve">TC-TM-005</t>
  </si>
  <si>
    <t xml:space="preserve">Vehicles &amp; driver logs</t>
  </si>
  <si>
    <t xml:space="preserve">Vehicles and drivers exist.</t>
  </si>
  <si>
    <t xml:space="preserve">Fleet, drivers, driver logs, routes render.</t>
  </si>
  <si>
    <t xml:space="preserve">TC-ONB-001</t>
  </si>
  <si>
    <t xml:space="preserve">Profile enforcement is tenant-admin only</t>
  </si>
  <si>
    <t xml:space="preserve">Tenant admin vs others</t>
  </si>
  <si>
    <t xml:space="preserve">Tenant requires profile completion.</t>
  </si>
  <si>
    <t xml:space="preserve">Only the tenant admin gets the enforcement pop-up.</t>
  </si>
  <si>
    <t xml:space="preserve">REQ-BUG-ProfileGate;REQ-ONB</t>
  </si>
  <si>
    <t xml:space="preserve">TC-ONB-002</t>
  </si>
  <si>
    <t xml:space="preserve">Terms</t>
  </si>
  <si>
    <t xml:space="preserve">Accept Terms of Business</t>
  </si>
  <si>
    <t xml:space="preserve">Any first-time user</t>
  </si>
  <si>
    <t xml:space="preserve">User has not yet accepted terms.</t>
  </si>
  <si>
    <t xml:space="preserve">Acceptance is required and recorded.</t>
  </si>
  <si>
    <t xml:space="preserve">REQ-ONB-Terms</t>
  </si>
  <si>
    <t xml:space="preserve">TC-ONB-003</t>
  </si>
  <si>
    <t xml:space="preserve">Policies</t>
  </si>
  <si>
    <t xml:space="preserve">Acknowledge policies</t>
  </si>
  <si>
    <t xml:space="preserve">Policies require acknowledgement.</t>
  </si>
  <si>
    <t xml:space="preserve">Policy acknowledgement recorded.</t>
  </si>
  <si>
    <t xml:space="preserve">REQ-ONB-Policies</t>
  </si>
  <si>
    <t xml:space="preserve">TC-ONB-004</t>
  </si>
  <si>
    <t xml:space="preserve">Tour</t>
  </si>
  <si>
    <t xml:space="preserve">Product tour</t>
  </si>
  <si>
    <t xml:space="preserve">First run.</t>
  </si>
  <si>
    <t xml:space="preserve">Tour can be viewed and dismissed.</t>
  </si>
  <si>
    <t xml:space="preserve">REQ-ONB-Tour</t>
  </si>
  <si>
    <t xml:space="preserve">TC-NOTIF-001</t>
  </si>
  <si>
    <t xml:space="preserve">Prefs</t>
  </si>
  <si>
    <t xml:space="preserve">Preferences persist</t>
  </si>
  <si>
    <t xml:space="preserve">User signed in.</t>
  </si>
  <si>
    <t xml:space="preserve">Notification preferences save and reload.</t>
  </si>
  <si>
    <t xml:space="preserve">TC-NOTIF-002</t>
  </si>
  <si>
    <t xml:space="preserve">Channels</t>
  </si>
  <si>
    <t xml:space="preserve">SMS / WhatsApp delivery</t>
  </si>
  <si>
    <t xml:space="preserve">Integration</t>
  </si>
  <si>
    <t xml:space="preserve">SMS/WhatsApp channel configured.</t>
  </si>
  <si>
    <t xml:space="preserve">Multi-channel messages dispatch.</t>
  </si>
  <si>
    <t xml:space="preserve">REQ-NOTIF-Channels</t>
  </si>
  <si>
    <t xml:space="preserve">TC-NOTIF-003</t>
  </si>
  <si>
    <t xml:space="preserve">Push</t>
  </si>
  <si>
    <t xml:space="preserve">Mobile push receipt</t>
  </si>
  <si>
    <t xml:space="preserve">Mobile user</t>
  </si>
  <si>
    <t xml:space="preserve">Push permission granted.</t>
  </si>
  <si>
    <t xml:space="preserve">Push notifications are received.</t>
  </si>
  <si>
    <t xml:space="preserve">TC-SEC-001</t>
  </si>
  <si>
    <t xml:space="preserve">PII</t>
  </si>
  <si>
    <t xml:space="preserve">PII masking by policy</t>
  </si>
  <si>
    <t xml:space="preserve">Restricted user</t>
  </si>
  <si>
    <t xml:space="preserve">PII policies configured.</t>
  </si>
  <si>
    <t xml:space="preserve">Sensitive fields are masked for unauthorised roles.</t>
  </si>
  <si>
    <t xml:space="preserve">REQ-SEC-PII</t>
  </si>
  <si>
    <t xml:space="preserve">TC-SEC-002</t>
  </si>
  <si>
    <t xml:space="preserve">Audit on sensitive action</t>
  </si>
  <si>
    <t xml:space="preserve">Any privileged user</t>
  </si>
  <si>
    <t xml:space="preserve">Auditing enabled.</t>
  </si>
  <si>
    <t xml:space="preserve">Sensitive actions are recorded.</t>
  </si>
  <si>
    <t xml:space="preserve">REQ-SEC-Audit</t>
  </si>
  <si>
    <t xml:space="preserve">TC-SEC-003</t>
  </si>
  <si>
    <t xml:space="preserve">Tenant data isolation (negative)</t>
  </si>
  <si>
    <t xml:space="preserve">Cross-tenant attempt</t>
  </si>
  <si>
    <t xml:space="preserve">Two tenants exist.</t>
  </si>
  <si>
    <t xml:space="preserve">No data crosses the tenant boundary.</t>
  </si>
  <si>
    <t xml:space="preserve">TC-INT-001</t>
  </si>
  <si>
    <t xml:space="preserve">MIS</t>
  </si>
  <si>
    <t xml:space="preserve">MIS sync error queue</t>
  </si>
  <si>
    <t xml:space="preserve">School Admin</t>
  </si>
  <si>
    <t xml:space="preserve">MIS (e.g. SIMS) integration configured.</t>
  </si>
  <si>
    <t xml:space="preserve">Bad records are queued with guidance, good ones import.</t>
  </si>
  <si>
    <t xml:space="preserve">REQ-INT</t>
  </si>
  <si>
    <t xml:space="preserve">TC-INT-002</t>
  </si>
  <si>
    <t xml:space="preserve">Setup</t>
  </si>
  <si>
    <t xml:space="preserve">Configure an integration</t>
  </si>
  <si>
    <t xml:space="preserve">Admin has integration rights.</t>
  </si>
  <si>
    <t xml:space="preserve">Connection can be set up and tested.</t>
  </si>
  <si>
    <t xml:space="preserve">TC-SUP-001</t>
  </si>
  <si>
    <t xml:space="preserve">Ticket</t>
  </si>
  <si>
    <t xml:space="preserve">Raise a support ticket</t>
  </si>
  <si>
    <t xml:space="preserve">Ticket is created with a reference.</t>
  </si>
  <si>
    <t xml:space="preserve">REQ-SUP</t>
  </si>
  <si>
    <t xml:space="preserve">TC-SUP-002</t>
  </si>
  <si>
    <t xml:space="preserve">Reply and close</t>
  </si>
  <si>
    <t xml:space="preserve">An open ticket exists.</t>
  </si>
  <si>
    <t xml:space="preserve">Reply threads and closing works.</t>
  </si>
  <si>
    <t xml:space="preserve">TC-SUP-003</t>
  </si>
  <si>
    <t xml:space="preserve">SLA</t>
  </si>
  <si>
    <t xml:space="preserve">SLA breach indicator</t>
  </si>
  <si>
    <t xml:space="preserve">Support reviewer</t>
  </si>
  <si>
    <t xml:space="preserve">A ticket exceeds its SLA.</t>
  </si>
  <si>
    <t xml:space="preserve">Breach is flagged.</t>
  </si>
  <si>
    <t xml:space="preserve">TC-MOB-001</t>
  </si>
  <si>
    <t xml:space="preserve">Bootstrap payload correctness</t>
  </si>
  <si>
    <t xml:space="preserve">Any mobile user</t>
  </si>
  <si>
    <t xml:space="preserve">User signs in on mobile.</t>
  </si>
  <si>
    <t xml:space="preserve">Bootstrap returns identity, role, schools, children, unread, security.</t>
  </si>
  <si>
    <t xml:space="preserve">REQ-MOB</t>
  </si>
  <si>
    <t xml:space="preserve">TC-MOB-002</t>
  </si>
  <si>
    <t xml:space="preserve">Resilience</t>
  </si>
  <si>
    <t xml:space="preserve">Bootstrap tolerant of un-migrated columns</t>
  </si>
  <si>
    <t xml:space="preserve">Some optional columns not yet migrated.</t>
  </si>
  <si>
    <t xml:space="preserve">Bootstrap does not 500.</t>
  </si>
  <si>
    <t xml:space="preserve">TC-MOB-003</t>
  </si>
  <si>
    <t xml:space="preserve">Offline</t>
  </si>
  <si>
    <t xml:space="preserve">Persisted/last-known state</t>
  </si>
  <si>
    <t xml:space="preserve">User previously loaded data.</t>
  </si>
  <si>
    <t xml:space="preserve">Cached data shows when refresh fails.</t>
  </si>
  <si>
    <t xml:space="preserve">REQ-MOB-Offline</t>
  </si>
  <si>
    <t xml:space="preserve">TC-REG-001</t>
  </si>
  <si>
    <t xml:space="preserve">Refresh</t>
  </si>
  <si>
    <t xml:space="preserve">State persists across browser refresh</t>
  </si>
  <si>
    <t xml:space="preserve">Any web user</t>
  </si>
  <si>
    <t xml:space="preserve">A list with filters/sort/search and tabs.</t>
  </si>
  <si>
    <t xml:space="preserve">Active tab, filters, sort and search survive refresh.</t>
  </si>
  <si>
    <t xml:space="preserve">REQ-REFRESH</t>
  </si>
  <si>
    <t xml:space="preserve">TC-REG-002</t>
  </si>
  <si>
    <t xml:space="preserve">Web/mobile feature parity</t>
  </si>
  <si>
    <t xml:space="preserve">A feature exists on both surfaces.</t>
  </si>
  <si>
    <t xml:space="preserve">Behaviour is consistent across web and mobile.</t>
  </si>
  <si>
    <t xml:space="preserve">REQ-Parity</t>
  </si>
  <si>
    <t xml:space="preserve">TC-REG-003</t>
  </si>
  <si>
    <t xml:space="preserve">Perf</t>
  </si>
  <si>
    <t xml:space="preserve">Key screens load within budget</t>
  </si>
  <si>
    <t xml:space="preserve">Non-functional</t>
  </si>
  <si>
    <t xml:space="preserve">Representative data volume.</t>
  </si>
  <si>
    <t xml:space="preserve">Primary dashboards load within an acceptable time.</t>
  </si>
  <si>
    <t xml:space="preserve">REQ-Perf</t>
  </si>
  <si>
    <t xml:space="preserve">Case Title</t>
  </si>
  <si>
    <t xml:space="preserve">Step</t>
  </si>
  <si>
    <t xml:space="preserve">Action</t>
  </si>
  <si>
    <t xml:space="preserve">Test Data</t>
  </si>
  <si>
    <t xml:space="preserve">Actual Result</t>
  </si>
  <si>
    <t xml:space="preserve">Navigate to the sign-in page</t>
  </si>
  <si>
    <t xml:space="preserve">-</t>
  </si>
  <si>
    <t xml:space="preserve">Login form is displayed with email &amp; password fields.</t>
  </si>
  <si>
    <t xml:space="preserve">Enter valid email and password</t>
  </si>
  <si>
    <t xml:space="preserve">valid credentials</t>
  </si>
  <si>
    <t xml:space="preserve">Fields accept input; password is masked.</t>
  </si>
  <si>
    <t xml:space="preserve">Tap Sign in</t>
  </si>
  <si>
    <t xml:space="preserve">Session token issued; user routed to their role dashboard.</t>
  </si>
  <si>
    <t xml:space="preserve">Enter a valid email with a wrong password</t>
  </si>
  <si>
    <t xml:space="preserve">wrong password</t>
  </si>
  <si>
    <t xml:space="preserve">Input accepted.</t>
  </si>
  <si>
    <t xml:space="preserve">Error 'Sign-in failed' shown; user stays on login; no session created.</t>
  </si>
  <si>
    <t xml:space="preserve">Submit wrong password up to the configured threshold</t>
  </si>
  <si>
    <t xml:space="preserve">wrong password x N</t>
  </si>
  <si>
    <t xml:space="preserve">Each attempt is rejected.</t>
  </si>
  <si>
    <t xml:space="preserve">Submit one more attempt</t>
  </si>
  <si>
    <t xml:space="preserve">Further attempts are throttled/locked per policy and audited.</t>
  </si>
  <si>
    <t xml:space="preserve">Sign in with valid credentials</t>
  </si>
  <si>
    <t xml:space="preserve">mfaEnrollmentRequired gate triggers; enrolment screen with secret/QR shown.</t>
  </si>
  <si>
    <t xml:space="preserve">Scan secret in an authenticator and enter the 6-digit code</t>
  </si>
  <si>
    <t xml:space="preserve">current TOTP</t>
  </si>
  <si>
    <t xml:space="preserve">Code accepted; enrolment stored.</t>
  </si>
  <si>
    <t xml:space="preserve">Continue</t>
  </si>
  <si>
    <t xml:space="preserve">User proceeds to dashboard; subsequent logins require MFA.</t>
  </si>
  <si>
    <t xml:space="preserve">mfaRequired response; code prompt shown.</t>
  </si>
  <si>
    <t xml:space="preserve">Enter an incorrect code</t>
  </si>
  <si>
    <t xml:space="preserve">000000</t>
  </si>
  <si>
    <t xml:space="preserve">Rejected with error; no session.</t>
  </si>
  <si>
    <t xml:space="preserve">Enter the correct code</t>
  </si>
  <si>
    <t xml:space="preserve">Session issued; dashboard shown.</t>
  </si>
  <si>
    <t xml:space="preserve">Sign in</t>
  </si>
  <si>
    <t xml:space="preserve">passwordExpired gate triggers; change-password screen shown.</t>
  </si>
  <si>
    <t xml:space="preserve">Submit a compliant new password</t>
  </si>
  <si>
    <t xml:space="preserve">new password</t>
  </si>
  <si>
    <t xml:space="preserve">Password updated; session rotated; user re-authenticated.</t>
  </si>
  <si>
    <t xml:space="preserve">Sign in with remember enabled</t>
  </si>
  <si>
    <t xml:space="preserve">Token stored securely; remember flag = 1.</t>
  </si>
  <si>
    <t xml:space="preserve">Close and reopen the app</t>
  </si>
  <si>
    <t xml:space="preserve">Bootstrap runs with stored token; user lands on dashboard without re-entering credentials.</t>
  </si>
  <si>
    <t xml:space="preserve">Tap Logout</t>
  </si>
  <si>
    <t xml:space="preserve">Token cleared; remember flag removed; returned to login.</t>
  </si>
  <si>
    <t xml:space="preserve">Attempt to reopen a protected screen / API</t>
  </si>
  <si>
    <t xml:space="preserve">Access denied / redirected to login.</t>
  </si>
  <si>
    <t xml:space="preserve">Open app with a stored session</t>
  </si>
  <si>
    <t xml:space="preserve">Biometric prompt shown.</t>
  </si>
  <si>
    <t xml:space="preserve">Authenticate with Face/Touch ID</t>
  </si>
  <si>
    <t xml:space="preserve">valid biometric</t>
  </si>
  <si>
    <t xml:space="preserve">Bootstrap loads; dashboard shown.</t>
  </si>
  <si>
    <t xml:space="preserve">Fail/cancel biometric</t>
  </si>
  <si>
    <t xml:space="preserve">cancel</t>
  </si>
  <si>
    <t xml:space="preserve">Session not restored; user remains on lock/login.</t>
  </si>
  <si>
    <t xml:space="preserve">Use 'Forgot password' and submit the account email</t>
  </si>
  <si>
    <t xml:space="preserve">registered email</t>
  </si>
  <si>
    <t xml:space="preserve">Reset initiation confirmed (no account enumeration).</t>
  </si>
  <si>
    <t xml:space="preserve">Complete reset with a new password</t>
  </si>
  <si>
    <t xml:space="preserve">New password set.</t>
  </si>
  <si>
    <t xml:space="preserve">Sign in with the old password</t>
  </si>
  <si>
    <t xml:space="preserve">old password</t>
  </si>
  <si>
    <t xml:space="preserve">Rejected.</t>
  </si>
  <si>
    <t xml:space="preserve">Sign in as a School Administrator</t>
  </si>
  <si>
    <t xml:space="preserve">Dashboard loads.</t>
  </si>
  <si>
    <t xml:space="preserve">Review the left navigation</t>
  </si>
  <si>
    <t xml:space="preserve">Admin sections present; platform-only items absent.</t>
  </si>
  <si>
    <t xml:space="preserve">Sign in as a user without a given permission</t>
  </si>
  <si>
    <t xml:space="preserve">Manually navigate to a protected URL/endpoint</t>
  </si>
  <si>
    <t xml:space="preserve">protected route</t>
  </si>
  <si>
    <t xml:space="preserve">403 / access-denied; no data leaked.</t>
  </si>
  <si>
    <t xml:space="preserve">Assign an override permission to a role</t>
  </si>
  <si>
    <t xml:space="preserve">permission grant</t>
  </si>
  <si>
    <t xml:space="preserve">Saved.</t>
  </si>
  <si>
    <t xml:space="preserve">Sign in as a user with that role</t>
  </si>
  <si>
    <t xml:space="preserve">The newly permitted section is now accessible.</t>
  </si>
  <si>
    <t xml:space="preserve">Sign in as a platform admin</t>
  </si>
  <si>
    <t xml:space="preserve">Platform areas visible per staffAreas/canAccessArea.</t>
  </si>
  <si>
    <t xml:space="preserve">Sign in as a normal tenant admin</t>
  </si>
  <si>
    <t xml:space="preserve">Platform plane is not reachable.</t>
  </si>
  <si>
    <t xml:space="preserve">Sign in as an admin of Tenant A</t>
  </si>
  <si>
    <t xml:space="preserve">Only Tenant A data listed.</t>
  </si>
  <si>
    <t xml:space="preserve">Request a Tenant B record id directly</t>
  </si>
  <si>
    <t xml:space="preserve">B record id</t>
  </si>
  <si>
    <t xml:space="preserve">Access denied via assertTenantAccess; nothing returned.</t>
  </si>
  <si>
    <t xml:space="preserve">Access the staff area as an authorised staff member</t>
  </si>
  <si>
    <t xml:space="preserve">Allowed.</t>
  </si>
  <si>
    <t xml:space="preserve">Access it as a non-staff user</t>
  </si>
  <si>
    <t xml:space="preserve">Blocked.</t>
  </si>
  <si>
    <t xml:space="preserve">Sign in as an Account Manager</t>
  </si>
  <si>
    <t xml:space="preserve">Portfolio dashboard loads.</t>
  </si>
  <si>
    <t xml:space="preserve">Open the schools list</t>
  </si>
  <si>
    <t xml:space="preserve">Only schools within the AM's county/country appear.</t>
  </si>
  <si>
    <t xml:space="preserve">Assign a school to the AM explicitly</t>
  </si>
  <si>
    <t xml:space="preserve">assignment</t>
  </si>
  <si>
    <t xml:space="preserve">View the AM's school list</t>
  </si>
  <si>
    <t xml:space="preserve">The explicitly assigned school is present in addition to geo-scoped ones.</t>
  </si>
  <si>
    <t xml:space="preserve">As the AM, request an out-of-scope school sub-route</t>
  </si>
  <si>
    <t xml:space="preserve">out-of-scope school id</t>
  </si>
  <si>
    <t xml:space="preserve">Blocked at the isMemberOf/scopedSchoolIds chokepoint.</t>
  </si>
  <si>
    <t xml:space="preserve">Inspect the AM's accessible school ids</t>
  </si>
  <si>
    <t xml:space="preserve">Set equals the union of geo-covered and explicitly assigned schools; no others.</t>
  </si>
  <si>
    <t xml:space="preserve">Open Super-Admin &gt; Schools</t>
  </si>
  <si>
    <t xml:space="preserve">Paginated/filterable school list with status, plan and activation state.</t>
  </si>
  <si>
    <t xml:space="preserve">Open a school from the list</t>
  </si>
  <si>
    <t xml:space="preserve">Detail view loads.</t>
  </si>
  <si>
    <t xml:space="preserve">Review sections</t>
  </si>
  <si>
    <t xml:space="preserve">Profile, subscription/commercial, activation status and history are shown.</t>
  </si>
  <si>
    <t xml:space="preserve">Open the 3-dot action menu on a school</t>
  </si>
  <si>
    <t xml:space="preserve">Menu lists actions (view, activate, suspend, manage).</t>
  </si>
  <si>
    <t xml:space="preserve">Invoke an action</t>
  </si>
  <si>
    <t xml:space="preserve">action</t>
  </si>
  <si>
    <t xml:space="preserve">The corresponding flow opens / state changes and is audited.</t>
  </si>
  <si>
    <t xml:space="preserve">Open create-tenant and complete required fields</t>
  </si>
  <si>
    <t xml:space="preserve">new school details</t>
  </si>
  <si>
    <t xml:space="preserve">Validation passes.</t>
  </si>
  <si>
    <t xml:space="preserve">Submit</t>
  </si>
  <si>
    <t xml:space="preserve">Tenant created; activationStatus = pending; onboarding chain initiated.</t>
  </si>
  <si>
    <t xml:space="preserve">Suspend the school</t>
  </si>
  <si>
    <t xml:space="preserve">Members lose access; state = suspended; audited.</t>
  </si>
  <si>
    <t xml:space="preserve">Reactivate the school</t>
  </si>
  <si>
    <t xml:space="preserve">Access restored; state = active; audited.</t>
  </si>
  <si>
    <t xml:space="preserve">Start a new Purchase Order for a school</t>
  </si>
  <si>
    <t xml:space="preserve">school + term</t>
  </si>
  <si>
    <t xml:space="preserve">PO draft opens with pricing inputs.</t>
  </si>
  <si>
    <t xml:space="preserve">Confirm the computed line total</t>
  </si>
  <si>
    <t xml:space="preserve">annual rate, term</t>
  </si>
  <si>
    <t xml:space="preserve">computePoCost returns per-school annual × term.</t>
  </si>
  <si>
    <t xml:space="preserve">Enter a discount value</t>
  </si>
  <si>
    <t xml:space="preserve">discount</t>
  </si>
  <si>
    <t xml:space="preserve">Total recalculates = base − discount.</t>
  </si>
  <si>
    <t xml:space="preserve">Enter a discount greater than base</t>
  </si>
  <si>
    <t xml:space="preserve">over-discount</t>
  </si>
  <si>
    <t xml:space="preserve">Rejected or clamped; total not negative.</t>
  </si>
  <si>
    <t xml:space="preserve">Create a PO</t>
  </si>
  <si>
    <t xml:space="preserve">poReference() assigns a unique reference shown on the PO.</t>
  </si>
  <si>
    <t xml:space="preserve">Export the PO to PDF</t>
  </si>
  <si>
    <t xml:space="preserve">Branded PDF with letterhead, line items and totals downloads.</t>
  </si>
  <si>
    <t xml:space="preserve">Open the PDF</t>
  </si>
  <si>
    <t xml:space="preserve">Figures match the PO; footer shows page numbers; download recorded in audit.</t>
  </si>
  <si>
    <t xml:space="preserve">Approve a PO</t>
  </si>
  <si>
    <t xml:space="preserve">State → approved; audited.</t>
  </si>
  <si>
    <t xml:space="preserve">Cancel a PO</t>
  </si>
  <si>
    <t xml:space="preserve">State → cancelled; audited; no further edits.</t>
  </si>
  <si>
    <t xml:space="preserve">Apply status/school filters to the PO list</t>
  </si>
  <si>
    <t xml:space="preserve">filters</t>
  </si>
  <si>
    <t xml:space="preserve">List narrows.</t>
  </si>
  <si>
    <t xml:space="preserve">Refresh the browser</t>
  </si>
  <si>
    <t xml:space="preserve">Filters and view are retained.</t>
  </si>
  <si>
    <t xml:space="preserve">Create a new tenant and sign in as its admin</t>
  </si>
  <si>
    <t xml:space="preserve">Account-pending gate is shown to the admin.</t>
  </si>
  <si>
    <t xml:space="preserve">Sign in as an existing tenant admin</t>
  </si>
  <si>
    <t xml:space="preserve">No pending gate; full access retained.</t>
  </si>
  <si>
    <t xml:space="preserve">Open the activation/payment screen</t>
  </si>
  <si>
    <t xml:space="preserve">Upload/submit form shown.</t>
  </si>
  <si>
    <t xml:space="preserve">Submit payment proof</t>
  </si>
  <si>
    <t xml:space="preserve">payment submission</t>
  </si>
  <si>
    <t xml:space="preserve">PaymentSubmission recorded; status = submitted.</t>
  </si>
  <si>
    <t xml:space="preserve">Reviewer rejects the submission</t>
  </si>
  <si>
    <t xml:space="preserve">reject</t>
  </si>
  <si>
    <t xml:space="preserve">paymentStatus = rejected.</t>
  </si>
  <si>
    <t xml:space="preserve">Return to the activation screen</t>
  </si>
  <si>
    <t xml:space="preserve">Resubmission is allowed.</t>
  </si>
  <si>
    <t xml:space="preserve">Open manual activation for the tenant</t>
  </si>
  <si>
    <t xml:space="preserve">Justification field required.</t>
  </si>
  <si>
    <t xml:space="preserve">Activate without a justification</t>
  </si>
  <si>
    <t xml:space="preserve">blank</t>
  </si>
  <si>
    <t xml:space="preserve">Activate with a justification</t>
  </si>
  <si>
    <t xml:space="preserve">justification text</t>
  </si>
  <si>
    <t xml:space="preserve">activateSchool sets activated; ActivationEvent recorded.</t>
  </si>
  <si>
    <t xml:space="preserve">Open the school's activation history</t>
  </si>
  <si>
    <t xml:space="preserve">activationHistory lists events with actor, reason and timestamp.</t>
  </si>
  <si>
    <t xml:space="preserve">Sign in as a non-admin in a pending tenant</t>
  </si>
  <si>
    <t xml:space="preserve">Only Terms of Business, tour and policies are presented; no payment/activation gate.</t>
  </si>
  <si>
    <t xml:space="preserve">Open a direct thread and type a message</t>
  </si>
  <si>
    <t xml:space="preserve">message text</t>
  </si>
  <si>
    <t xml:space="preserve">Composer accepts input.</t>
  </si>
  <si>
    <t xml:space="preserve">Send</t>
  </si>
  <si>
    <t xml:space="preserve">Message stored (DirectMessageItem) and shown; recipient unread count increments.</t>
  </si>
  <si>
    <t xml:space="preserve">Create a group and add members</t>
  </si>
  <si>
    <t xml:space="preserve">member list</t>
  </si>
  <si>
    <t xml:space="preserve">createGroupThread creates the thread.</t>
  </si>
  <si>
    <t xml:space="preserve">Send a message</t>
  </si>
  <si>
    <t xml:space="preserve">message</t>
  </si>
  <si>
    <t xml:space="preserve">All members receive it.</t>
  </si>
  <si>
    <t xml:space="preserve">Add and remove a member</t>
  </si>
  <si>
    <t xml:space="preserve">member</t>
  </si>
  <si>
    <t xml:space="preserve">Membership updates.</t>
  </si>
  <si>
    <t xml:space="preserve">Rename the thread and then leave</t>
  </si>
  <si>
    <t xml:space="preserve">new name</t>
  </si>
  <si>
    <t xml:space="preserve">Rename persists; leaving removes the user from the thread.</t>
  </si>
  <si>
    <t xml:space="preserve">Type '@' and pick a member</t>
  </si>
  <si>
    <t xml:space="preserve">@name</t>
  </si>
  <si>
    <t xml:space="preserve">Mention inserted (mentionsJson).</t>
  </si>
  <si>
    <t xml:space="preserve">Mentioned user receives a notification.</t>
  </si>
  <si>
    <t xml:space="preserve">Reply to an existing message</t>
  </si>
  <si>
    <t xml:space="preserve">reply text</t>
  </si>
  <si>
    <t xml:space="preserve">parentId set to the original.</t>
  </si>
  <si>
    <t xml:space="preserve">Delete the parent</t>
  </si>
  <si>
    <t xml:space="preserve">Reply survives with parent set null (onDelete: SetNull).</t>
  </si>
  <si>
    <t xml:space="preserve">Add a reaction</t>
  </si>
  <si>
    <t xml:space="preserve">emoji</t>
  </si>
  <si>
    <t xml:space="preserve">DirectMessageReaction recorded and shown.</t>
  </si>
  <si>
    <t xml:space="preserve">Remove the reaction</t>
  </si>
  <si>
    <t xml:space="preserve">Reaction cleared.</t>
  </si>
  <si>
    <t xml:space="preserve">Observe the unread badge</t>
  </si>
  <si>
    <t xml:space="preserve">Count reflects unread messages.</t>
  </si>
  <si>
    <t xml:space="preserve">Open the thread</t>
  </si>
  <si>
    <t xml:space="preserve">lastReadAt updates; badge clears.</t>
  </si>
  <si>
    <t xml:space="preserve">Attach a file within the size cap</t>
  </si>
  <si>
    <t xml:space="preserve">valid attachment</t>
  </si>
  <si>
    <t xml:space="preserve">Preview shown (attachmentsJson).</t>
  </si>
  <si>
    <t xml:space="preserve">Attach an oversized file</t>
  </si>
  <si>
    <t xml:space="preserve">oversized</t>
  </si>
  <si>
    <t xml:space="preserve">Rejected with a clear message.</t>
  </si>
  <si>
    <t xml:space="preserve">Send a message containing a script/onerror payload</t>
  </si>
  <si>
    <t xml:space="preserve">&lt;script&gt;…</t>
  </si>
  <si>
    <t xml:space="preserve">sanitize-html strips unsafe nodes.</t>
  </si>
  <si>
    <t xml:space="preserve">Render the message</t>
  </si>
  <si>
    <t xml:space="preserve">No script executes; text shown safely.</t>
  </si>
  <si>
    <t xml:space="preserve">Open Messages on mobile as teacher, driver and admin</t>
  </si>
  <si>
    <t xml:space="preserve">DirectMessages screen loads for each role.</t>
  </si>
  <si>
    <t xml:space="preserve">Send and receive</t>
  </si>
  <si>
    <t xml:space="preserve">Works consistently across the three roles.</t>
  </si>
  <si>
    <t xml:space="preserve">Export a report to PDF</t>
  </si>
  <si>
    <t xml:space="preserve">brandedPdf produces a letterheaded document.</t>
  </si>
  <si>
    <t xml:space="preserve">Inspect metadata &amp; footer</t>
  </si>
  <si>
    <t xml:space="preserve">Title/author/generated-at present; page-numbered footer; DownloadAudit written.</t>
  </si>
  <si>
    <t xml:space="preserve">Export to Excel</t>
  </si>
  <si>
    <t xml:space="preserve">xlsMetaSheet adds a metadata worksheet with source/user/timestamp.</t>
  </si>
  <si>
    <t xml:space="preserve">Review the data sheet</t>
  </si>
  <si>
    <t xml:space="preserve">Content matches the on-screen data.</t>
  </si>
  <si>
    <t xml:space="preserve">Export/download a CSV</t>
  </si>
  <si>
    <t xml:space="preserve">stampCsv/csvWithMetadata prepends metadata; recordClientDownload fires.</t>
  </si>
  <si>
    <t xml:space="preserve">Perform several exports</t>
  </si>
  <si>
    <t xml:space="preserve">Each writes a DownloadAudit / /api/downloads/record entry.</t>
  </si>
  <si>
    <t xml:space="preserve">Review the audit</t>
  </si>
  <si>
    <t xml:space="preserve">User, artifact, type and time are recorded.</t>
  </si>
  <si>
    <t xml:space="preserve">Export from a deep-nested route (e.g. reports export)</t>
  </si>
  <si>
    <t xml:space="preserve">Metadata/branding/audit applied consistent with other exports.</t>
  </si>
  <si>
    <t xml:space="preserve">Open the School-Admin dashboard</t>
  </si>
  <si>
    <t xml:space="preserve">KPIs, alerts and quick actions render.</t>
  </si>
  <si>
    <t xml:space="preserve">Open the School-Admin Transport area</t>
  </si>
  <si>
    <t xml:space="preserve">Tabs include dashboard, control, travel logs, incidents, messages, routes, vehicles, drivers, driver logs, profiles, fees, requests, enquiries.</t>
  </si>
  <si>
    <t xml:space="preserve">Open each tab</t>
  </si>
  <si>
    <t xml:space="preserve">Each renders the corresponding TM view without error.</t>
  </si>
  <si>
    <t xml:space="preserve">Create an invitation and assign a role</t>
  </si>
  <si>
    <t xml:space="preserve">invitee + role</t>
  </si>
  <si>
    <t xml:space="preserve">Invitation created.</t>
  </si>
  <si>
    <t xml:space="preserve">Invitee accepts</t>
  </si>
  <si>
    <t xml:space="preserve">Membership created with the assigned role.</t>
  </si>
  <si>
    <t xml:space="preserve">Create an announcement with audience &amp; schedule</t>
  </si>
  <si>
    <t xml:space="preserve">announcement</t>
  </si>
  <si>
    <t xml:space="preserve">Publish</t>
  </si>
  <si>
    <t xml:space="preserve">Recipients see it; PII policy respected.</t>
  </si>
  <si>
    <t xml:space="preserve">Create a calendar event</t>
  </si>
  <si>
    <t xml:space="preserve">event</t>
  </si>
  <si>
    <t xml:space="preserve">Saved and published.</t>
  </si>
  <si>
    <t xml:space="preserve">View as a parent</t>
  </si>
  <si>
    <t xml:space="preserve">Event visible once published.</t>
  </si>
  <si>
    <t xml:space="preserve">Open the teacher home</t>
  </si>
  <si>
    <t xml:space="preserve">Class/attendance widgets render.</t>
  </si>
  <si>
    <t xml:space="preserve">Open a trip</t>
  </si>
  <si>
    <t xml:space="preserve">Consent counts shown.</t>
  </si>
  <si>
    <t xml:space="preserve">Send a consent chase</t>
  </si>
  <si>
    <t xml:space="preserve">Outstanding families notified.</t>
  </si>
  <si>
    <t xml:space="preserve">Draft a pupil report</t>
  </si>
  <si>
    <t xml:space="preserve">report content</t>
  </si>
  <si>
    <t xml:space="preserve">Saved as draft.</t>
  </si>
  <si>
    <t xml:space="preserve">Finalise</t>
  </si>
  <si>
    <t xml:space="preserve">Report locked and available downstream.</t>
  </si>
  <si>
    <t xml:space="preserve">Award a merit to a pupil</t>
  </si>
  <si>
    <t xml:space="preserve">merit</t>
  </si>
  <si>
    <t xml:space="preserve">Recorded (behaviour ingestion).</t>
  </si>
  <si>
    <t xml:space="preserve">Check parent view</t>
  </si>
  <si>
    <t xml:space="preserve">Merit reflected in the pupil's record.</t>
  </si>
  <si>
    <t xml:space="preserve">Open the parent home</t>
  </si>
  <si>
    <t xml:space="preserve">Each linked child shown with key info.</t>
  </si>
  <si>
    <t xml:space="preserve">Open the trip consent</t>
  </si>
  <si>
    <t xml:space="preserve">Details shown.</t>
  </si>
  <si>
    <t xml:space="preserve">Give consent</t>
  </si>
  <si>
    <t xml:space="preserve">consent</t>
  </si>
  <si>
    <t xml:space="preserve">Recorded; teacher count updates.</t>
  </si>
  <si>
    <t xml:space="preserve">Open transport while a journey runs</t>
  </si>
  <si>
    <t xml:space="preserve">Live status/ETA shown.</t>
  </si>
  <si>
    <t xml:space="preserve">Open transport when no journey runs</t>
  </si>
  <si>
    <t xml:space="preserve">No live location (safeguarding).</t>
  </si>
  <si>
    <t xml:space="preserve">Ask about your own child</t>
  </si>
  <si>
    <t xml:space="preserve">query</t>
  </si>
  <si>
    <t xml:space="preserve">Relevant answer returned.</t>
  </si>
  <si>
    <t xml:space="preserve">Ask about another family's child</t>
  </si>
  <si>
    <t xml:space="preserve">other child</t>
  </si>
  <si>
    <t xml:space="preserve">Declined / no data (scope enforced).</t>
  </si>
  <si>
    <t xml:space="preserve">Toggle a channel/category preference</t>
  </si>
  <si>
    <t xml:space="preserve">preference</t>
  </si>
  <si>
    <t xml:space="preserve">Reopen preferences</t>
  </si>
  <si>
    <t xml:space="preserve">Change persisted.</t>
  </si>
  <si>
    <t xml:space="preserve">Open the driver web dashboard</t>
  </si>
  <si>
    <t xml:space="preserve">Today's journeys listed.</t>
  </si>
  <si>
    <t xml:space="preserve">Start then end a journey</t>
  </si>
  <si>
    <t xml:space="preserve">Office and affected parents notified; status transitions.</t>
  </si>
  <si>
    <t xml:space="preserve">Open Incident log and choose a type &amp; severity</t>
  </si>
  <si>
    <t xml:space="preserve">type, severity</t>
  </si>
  <si>
    <t xml:space="preserve">Form ready.</t>
  </si>
  <si>
    <t xml:space="preserve">Submit with notes</t>
  </si>
  <si>
    <t xml:space="preserve">notes</t>
  </si>
  <si>
    <t xml:space="preserve">POST /api/driver/incident stores it (schoolId from membership); office notified.</t>
  </si>
  <si>
    <t xml:space="preserve">View 'My reported incidents'</t>
  </si>
  <si>
    <t xml:space="preserve">The new incident is listed.</t>
  </si>
  <si>
    <t xml:space="preserve">Open the Fleet section</t>
  </si>
  <si>
    <t xml:space="preserve">Vehicles listed with derived status (available/due soon/attention/out of service).</t>
  </si>
  <si>
    <t xml:space="preserve">Review compliance flags</t>
  </si>
  <si>
    <t xml:space="preserve">MOT/insurance/service/tax show ok/due/overdue correctly.</t>
  </si>
  <si>
    <t xml:space="preserve">Open the Travel log with a null-session record</t>
  </si>
  <si>
    <t xml:space="preserve">null session</t>
  </si>
  <si>
    <t xml:space="preserve">Page renders.</t>
  </si>
  <si>
    <t xml:space="preserve">Inspect the session cell</t>
  </si>
  <si>
    <t xml:space="preserve">Shows '—' instead of throwing (String(r.session ?? '')…).</t>
  </si>
  <si>
    <t xml:space="preserve">Sign in on mobile as the dual-role driver</t>
  </si>
  <si>
    <t xml:space="preserve">dual-role account</t>
  </si>
  <si>
    <t xml:space="preserve">/api/mobile/bootstrap returns appRole = 'driver'.</t>
  </si>
  <si>
    <t xml:space="preserve">Observe the app</t>
  </si>
  <si>
    <t xml:space="preserve">Driver experience loads (Driver takes precedence over admin/staff).</t>
  </si>
  <si>
    <t xml:space="preserve">Open the driver app tab bar</t>
  </si>
  <si>
    <t xml:space="preserve">Tabs: Today, Search, Routes, Incident, Messages, Journey log, Assistant, Help, Account.</t>
  </si>
  <si>
    <t xml:space="preserve">Each screen renders without error.</t>
  </si>
  <si>
    <t xml:space="preserve">Open Today</t>
  </si>
  <si>
    <t xml:space="preserve">Assigned journeys listed with counts.</t>
  </si>
  <si>
    <t xml:space="preserve">Start then complete a journey</t>
  </si>
  <si>
    <t xml:space="preserve">Families notified; state transitions; log updates.</t>
  </si>
  <si>
    <t xml:space="preserve">Open Incident, pick type &amp; severity, add notes</t>
  </si>
  <si>
    <t xml:space="preserve">type, severity, notes</t>
  </si>
  <si>
    <t xml:space="preserve">Validation requires notes.</t>
  </si>
  <si>
    <t xml:space="preserve">POST succeeds; 'My reported incidents' shows it.</t>
  </si>
  <si>
    <t xml:space="preserve">Open Journey log</t>
  </si>
  <si>
    <t xml:space="preserve">Past journeys with completed count; null session shows '—' safely.</t>
  </si>
  <si>
    <t xml:space="preserve">Type a 2+ char query in Search</t>
  </si>
  <si>
    <t xml:space="preserve">After ~300ms, grouped results (routes/passengers/journeys) shown.</t>
  </si>
  <si>
    <t xml:space="preserve">Type a no-match query</t>
  </si>
  <si>
    <t xml:space="preserve">zzz</t>
  </si>
  <si>
    <t xml:space="preserve">'No matches' message shown.</t>
  </si>
  <si>
    <t xml:space="preserve">Open Help</t>
  </si>
  <si>
    <t xml:space="preserve">SupportTickets list renders in a scroll view.</t>
  </si>
  <si>
    <t xml:space="preserve">Raise and reply to a ticket</t>
  </si>
  <si>
    <t xml:space="preserve">ticket</t>
  </si>
  <si>
    <t xml:space="preserve">Created, listed and replyable.</t>
  </si>
  <si>
    <t xml:space="preserve">Open the TM dashboard</t>
  </si>
  <si>
    <t xml:space="preserve">Fleet/journey KPIs render.</t>
  </si>
  <si>
    <t xml:space="preserve">Open Control</t>
  </si>
  <si>
    <t xml:space="preserve">Active journeys listed with live status.</t>
  </si>
  <si>
    <t xml:space="preserve">Open Travel logs</t>
  </si>
  <si>
    <t xml:space="preserve">Rows render; null session shows '—'.</t>
  </si>
  <si>
    <t xml:space="preserve">Open Incidents</t>
  </si>
  <si>
    <t xml:space="preserve">Reported incidents listed with severity/status.</t>
  </si>
  <si>
    <t xml:space="preserve">Update an incident status</t>
  </si>
  <si>
    <t xml:space="preserve">status</t>
  </si>
  <si>
    <t xml:space="preserve">Change saved and audited.</t>
  </si>
  <si>
    <t xml:space="preserve">Open Vehicles, Drivers, Driver logs, Routes in turn</t>
  </si>
  <si>
    <t xml:space="preserve">Each renders with correct data.</t>
  </si>
  <si>
    <t xml:space="preserve">Sign in as the tenant admin</t>
  </si>
  <si>
    <t xml:space="preserve">Profile-enforcement pop-up appears (st.activation … isAdmin).</t>
  </si>
  <si>
    <t xml:space="preserve">Sign in as a non-admin member</t>
  </si>
  <si>
    <t xml:space="preserve">No enforcement pop-up; only terms/tour/policies.</t>
  </si>
  <si>
    <t xml:space="preserve">Sign in as a user who hasn't accepted terms</t>
  </si>
  <si>
    <t xml:space="preserve">Terms of Business presented.</t>
  </si>
  <si>
    <t xml:space="preserve">Accept</t>
  </si>
  <si>
    <t xml:space="preserve">accept</t>
  </si>
  <si>
    <t xml:space="preserve">Acceptance recorded; not shown again.</t>
  </si>
  <si>
    <t xml:space="preserve">Open the policies list</t>
  </si>
  <si>
    <t xml:space="preserve">Policies listed (privacy, safeguarding, AI usage, etc.).</t>
  </si>
  <si>
    <t xml:space="preserve">Acknowledge a policy needing action</t>
  </si>
  <si>
    <t xml:space="preserve">acknowledge</t>
  </si>
  <si>
    <t xml:space="preserve">Recorded.</t>
  </si>
  <si>
    <t xml:space="preserve">Trigger the product tour</t>
  </si>
  <si>
    <t xml:space="preserve">Tour steps shown.</t>
  </si>
  <si>
    <t xml:space="preserve">Complete/skip the tour</t>
  </si>
  <si>
    <t xml:space="preserve">Not shown again on next login.</t>
  </si>
  <si>
    <t xml:space="preserve">Change several notification preferences</t>
  </si>
  <si>
    <t xml:space="preserve">prefs</t>
  </si>
  <si>
    <t xml:space="preserve">Sign out and back in</t>
  </si>
  <si>
    <t xml:space="preserve">Preferences retained.</t>
  </si>
  <si>
    <t xml:space="preserve">Trigger a notifiable event (e.g. route delay)</t>
  </si>
  <si>
    <t xml:space="preserve">In-app + configured SMS/WhatsApp/push dispatched.</t>
  </si>
  <si>
    <t xml:space="preserve">Trigger a push event</t>
  </si>
  <si>
    <t xml:space="preserve">Device receives the push; deep-links to the item.</t>
  </si>
  <si>
    <t xml:space="preserve">View a record containing PII as a restricted role</t>
  </si>
  <si>
    <t xml:space="preserve">Sensitive fields masked.</t>
  </si>
  <si>
    <t xml:space="preserve">View as an authorised role</t>
  </si>
  <si>
    <t xml:space="preserve">Full values shown per policy.</t>
  </si>
  <si>
    <t xml:space="preserve">Perform a sensitive action (activation, export, role change)</t>
  </si>
  <si>
    <t xml:space="preserve">An audit entry with actor/time/target is written.</t>
  </si>
  <si>
    <t xml:space="preserve">Attempt cross-tenant reads via ids/APIs</t>
  </si>
  <si>
    <t xml:space="preserve">other-tenant ids</t>
  </si>
  <si>
    <t xml:space="preserve">All blocked; nothing leaked.</t>
  </si>
  <si>
    <t xml:space="preserve">Run a sync with some invalid records</t>
  </si>
  <si>
    <t xml:space="preserve">mixed feed</t>
  </si>
  <si>
    <t xml:space="preserve">Valid records import.</t>
  </si>
  <si>
    <t xml:space="preserve">Open the error queue</t>
  </si>
  <si>
    <t xml:space="preserve">Skipped records listed with reason and suggested fix.</t>
  </si>
  <si>
    <t xml:space="preserve">Add an integration and save credentials</t>
  </si>
  <si>
    <t xml:space="preserve">connection</t>
  </si>
  <si>
    <t xml:space="preserve">Saved (secrets handled server-side).</t>
  </si>
  <si>
    <t xml:space="preserve">Test the connection</t>
  </si>
  <si>
    <t xml:space="preserve">Success/failure reported clearly.</t>
  </si>
  <si>
    <t xml:space="preserve">Open support and complete category/priority/subject/description</t>
  </si>
  <si>
    <t xml:space="preserve">ticket fields</t>
  </si>
  <si>
    <t xml:space="preserve">Submit (optionally with a photo)</t>
  </si>
  <si>
    <t xml:space="preserve">attachment</t>
  </si>
  <si>
    <t xml:space="preserve">Ticket created; reference returned; appears in 'My tickets'.</t>
  </si>
  <si>
    <t xml:space="preserve">Open a ticket and reply</t>
  </si>
  <si>
    <t xml:space="preserve">reply</t>
  </si>
  <si>
    <t xml:space="preserve">Message appended.</t>
  </si>
  <si>
    <t xml:space="preserve">Close the ticket</t>
  </si>
  <si>
    <t xml:space="preserve">Status = closed; reopen path noted.</t>
  </si>
  <si>
    <t xml:space="preserve">View a ticket past its SLA</t>
  </si>
  <si>
    <t xml:space="preserve">'SLA breached' indicator shown.</t>
  </si>
  <si>
    <t xml:space="preserve">Sign in on mobile</t>
  </si>
  <si>
    <t xml:space="preserve">/api/mobile/bootstrap returns a complete, role-aware payload.</t>
  </si>
  <si>
    <t xml:space="preserve">Verify role routing</t>
  </si>
  <si>
    <t xml:space="preserve">appRole maps to the correct app (parent/teacher/driver/admin).</t>
  </si>
  <si>
    <t xml:space="preserve">Sign in where an optional column is absent</t>
  </si>
  <si>
    <t xml:space="preserve">Bootstrap still returns 200 with guarded defaults.</t>
  </si>
  <si>
    <t xml:space="preserve">Load a screen, then lose connectivity and reload</t>
  </si>
  <si>
    <t xml:space="preserve">Saved data shown with a 'couldn't refresh' note.</t>
  </si>
  <si>
    <t xml:space="preserve">Set a tab, filters, sort and a search term</t>
  </si>
  <si>
    <t xml:space="preserve">View updates.</t>
  </si>
  <si>
    <t xml:space="preserve">Tab (hash) and filters/sort/search are restored.</t>
  </si>
  <si>
    <t xml:space="preserve">Exercise a shared feature on web</t>
  </si>
  <si>
    <t xml:space="preserve">Works as specified.</t>
  </si>
  <si>
    <t xml:space="preserve">Exercise the same feature on mobile</t>
  </si>
  <si>
    <t xml:space="preserve">Consistent result and data.</t>
  </si>
  <si>
    <t xml:space="preserve">Open the busiest dashboards</t>
  </si>
  <si>
    <t xml:space="preserve">Screens become interactive within the agreed budget; no console errors.</t>
  </si>
  <si>
    <t xml:space="preserve">Requirement / Feature Ref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</si>
</sst>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3730A3"/>
      <name val="Arial"/>
      <family val="0"/>
      <charset val="1"/>
    </font>
    <font>
      <sz val="11"/>
      <color rgb="FF475569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2"/>
      <color rgb="FF3730A3"/>
      <name val="Arial"/>
      <family val="0"/>
      <charset val="1"/>
    </font>
    <font>
      <b val="true"/>
      <sz val="10"/>
      <color rgb="FFB91C1C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b val="true"/>
      <sz val="16"/>
      <color rgb="FF3730A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F172A"/>
      <name val="Arial"/>
      <family val="0"/>
      <charset val="1"/>
    </font>
    <font>
      <b val="true"/>
      <sz val="11"/>
      <color rgb="FF3730A3"/>
      <name val="Arial"/>
      <family val="0"/>
      <charset val="1"/>
    </font>
    <font>
      <b val="true"/>
      <sz val="9"/>
      <color rgb="FF3730A3"/>
      <name val="Arial"/>
      <family val="0"/>
      <charset val="1"/>
    </font>
    <font>
      <sz val="9"/>
      <color rgb="FF0F172A"/>
      <name val="Arial"/>
      <family val="0"/>
      <charset val="1"/>
    </font>
    <font>
      <b val="true"/>
      <sz val="9"/>
      <color rgb="FFB91C1C"/>
      <name val="Arial"/>
      <family val="0"/>
      <charset val="1"/>
    </font>
    <font>
      <b val="true"/>
      <sz val="9"/>
      <color rgb="FF92400E"/>
      <name val="Arial"/>
      <family val="0"/>
      <charset val="1"/>
    </font>
    <font>
      <b val="true"/>
      <sz val="9"/>
      <color rgb="FF166534"/>
      <name val="Arial"/>
      <family val="0"/>
      <charset val="1"/>
    </font>
    <font>
      <b val="true"/>
      <sz val="9"/>
      <color rgb="FF0F172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DE2E1"/>
        <bgColor rgb="FFFDEBD0"/>
      </patternFill>
    </fill>
    <fill>
      <patternFill patternType="solid">
        <fgColor rgb="FFFEF3C7"/>
        <bgColor rgb="FFFDEBD0"/>
      </patternFill>
    </fill>
    <fill>
      <patternFill patternType="solid">
        <fgColor rgb="FFE7F7EC"/>
        <bgColor rgb="FFEEF2F7"/>
      </patternFill>
    </fill>
    <fill>
      <patternFill patternType="solid">
        <fgColor rgb="FF4F46E5"/>
        <bgColor rgb="FF1D4ED8"/>
      </patternFill>
    </fill>
    <fill>
      <patternFill patternType="solid">
        <fgColor rgb="FFF5F7FB"/>
        <bgColor rgb="FFEEF2F7"/>
      </patternFill>
    </fill>
    <fill>
      <patternFill patternType="solid">
        <fgColor rgb="FF3730A3"/>
        <bgColor rgb="FF4F46E5"/>
      </patternFill>
    </fill>
    <fill>
      <patternFill patternType="solid">
        <fgColor rgb="FFE8ECF6"/>
        <bgColor rgb="FFEEF2F7"/>
      </patternFill>
    </fill>
    <fill>
      <patternFill patternType="solid">
        <fgColor rgb="FF0EA5E9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E6"/>
      </left>
      <right style="thin">
        <color rgb="FFD5DBE6"/>
      </right>
      <top style="thin">
        <color rgb="FFD5DBE6"/>
      </top>
      <bottom style="thin">
        <color rgb="FFD5DB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4F46E5"/>
          <bgColor rgb="FF000000"/>
        </patternFill>
      </fill>
    </dxf>
    <dxf>
      <fill>
        <patternFill patternType="solid">
          <fgColor rgb="FFF5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730A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172A"/>
          <bgColor rgb="FF000000"/>
        </patternFill>
      </fill>
    </dxf>
    <dxf>
      <fill>
        <patternFill patternType="solid">
          <fgColor rgb="FFE7F7EC"/>
          <bgColor rgb="FF000000"/>
        </patternFill>
      </fill>
    </dxf>
    <dxf>
      <fill>
        <patternFill patternType="solid">
          <fgColor rgb="FFFDE2E1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B91C1C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ill>
        <patternFill patternType="solid">
          <fgColor rgb="FF64748B"/>
          <bgColor rgb="FF000000"/>
        </patternFill>
      </fill>
    </dxf>
    <dxf>
      <font>
        <b val="1"/>
        <color rgb="FF166534"/>
      </font>
      <fill>
        <patternFill>
          <bgColor rgb="FFE7F7EC"/>
        </patternFill>
      </fill>
    </dxf>
    <dxf>
      <font>
        <b val="1"/>
        <color rgb="FFB91C1C"/>
      </font>
      <fill>
        <patternFill>
          <bgColor rgb="FFFDE2E1"/>
        </patternFill>
      </fill>
    </dxf>
    <dxf>
      <font>
        <color rgb="FF92400E"/>
      </font>
      <fill>
        <patternFill>
          <bgColor rgb="FFFDEBD0"/>
        </patternFill>
      </fill>
    </dxf>
    <dxf>
      <font>
        <color rgb="FF1D4ED8"/>
      </font>
      <fill>
        <patternFill>
          <bgColor rgb="FFDBEAFE"/>
        </patternFill>
      </fill>
    </dxf>
    <dxf>
      <font>
        <color rgb="FF64748B"/>
      </font>
      <fill>
        <patternFill>
          <bgColor rgb="FFEEF2F7"/>
        </patternFill>
      </fill>
    </dxf>
    <dxf>
      <fill>
        <patternFill patternType="solid">
          <fgColor rgb="FFE8ECF6"/>
          <bgColor rgb="FF000000"/>
        </patternFill>
      </fill>
    </dxf>
    <dxf>
      <fill>
        <patternFill patternType="solid">
          <fgColor rgb="FF0EA5E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EEF2F7"/>
      <rgbColor rgb="FF808080"/>
      <rgbColor rgb="FF9999FF"/>
      <rgbColor rgb="FFB91C1C"/>
      <rgbColor rgb="FFFEF3C7"/>
      <rgbColor rgb="FFE7F7EC"/>
      <rgbColor rgb="FF660066"/>
      <rgbColor rgb="FFFF8080"/>
      <rgbColor rgb="FF1D4ED8"/>
      <rgbColor rgb="FFD5DB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EA5E9"/>
      <rgbColor rgb="FFDBEAFE"/>
      <rgbColor rgb="FFE8ECF6"/>
      <rgbColor rgb="FFFDEBD0"/>
      <rgbColor rgb="FFF5F7FB"/>
      <rgbColor rgb="FFFF99CC"/>
      <rgbColor rgb="FFCC99FF"/>
      <rgbColor rgb="FFFDE2E1"/>
      <rgbColor rgb="FF4F46E5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475569"/>
      <rgbColor rgb="FF92400E"/>
      <rgbColor rgb="FF993366"/>
      <rgbColor rgb="FF3730A3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88"/>
    <col collapsed="false" customWidth="true" hidden="false" outlineLevel="0" max="4" min="4" style="0" width="3"/>
  </cols>
  <sheetData>
    <row r="2" customFormat="false" ht="27.75" hidden="false" customHeight="tru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9" customFormat="false" ht="15" hidden="false" customHeight="false" outlineLevel="0" collapsed="false">
      <c r="B9" s="3" t="s">
        <v>10</v>
      </c>
      <c r="C9" s="4" t="s">
        <v>11</v>
      </c>
    </row>
    <row r="10" customFormat="false" ht="15" hidden="false" customHeight="false" outlineLevel="0" collapsed="false">
      <c r="B10" s="3" t="s">
        <v>12</v>
      </c>
      <c r="C10" s="4" t="s">
        <v>13</v>
      </c>
    </row>
    <row r="11" customFormat="false" ht="15" hidden="false" customHeight="false" outlineLevel="0" collapsed="false">
      <c r="B11" s="3" t="s">
        <v>14</v>
      </c>
      <c r="C11" s="4" t="s">
        <v>15</v>
      </c>
    </row>
    <row r="12" customFormat="false" ht="35.05" hidden="false" customHeight="false" outlineLevel="0" collapsed="false">
      <c r="B12" s="3" t="s">
        <v>16</v>
      </c>
      <c r="C12" s="4" t="s">
        <v>17</v>
      </c>
    </row>
    <row r="13" customFormat="false" ht="15" hidden="false" customHeight="false" outlineLevel="0" collapsed="false">
      <c r="B13" s="3" t="s">
        <v>18</v>
      </c>
      <c r="C13" s="4" t="s">
        <v>19</v>
      </c>
    </row>
    <row r="15" customFormat="false" ht="15" hidden="false" customHeight="false" outlineLevel="0" collapsed="false">
      <c r="B15" s="5" t="s">
        <v>20</v>
      </c>
    </row>
    <row r="16" customFormat="false" ht="15" hidden="false" customHeight="false" outlineLevel="0" collapsed="false">
      <c r="C16" s="4" t="s">
        <v>21</v>
      </c>
    </row>
    <row r="17" customFormat="false" ht="23.85" hidden="false" customHeight="false" outlineLevel="0" collapsed="false">
      <c r="C17" s="4" t="s">
        <v>22</v>
      </c>
    </row>
    <row r="18" customFormat="false" ht="15" hidden="false" customHeight="false" outlineLevel="0" collapsed="false">
      <c r="C18" s="4" t="s">
        <v>23</v>
      </c>
    </row>
    <row r="19" customFormat="false" ht="15" hidden="false" customHeight="false" outlineLevel="0" collapsed="false">
      <c r="C19" s="4" t="s">
        <v>24</v>
      </c>
    </row>
    <row r="20" customFormat="false" ht="15" hidden="false" customHeight="false" outlineLevel="0" collapsed="false">
      <c r="C20" s="4" t="s">
        <v>25</v>
      </c>
    </row>
    <row r="22" customFormat="false" ht="15" hidden="false" customHeight="false" outlineLevel="0" collapsed="false">
      <c r="B22" s="5" t="s">
        <v>26</v>
      </c>
    </row>
    <row r="23" customFormat="false" ht="15" hidden="false" customHeight="false" outlineLevel="0" collapsed="false">
      <c r="B23" s="6" t="s">
        <v>27</v>
      </c>
    </row>
    <row r="24" customFormat="false" ht="15" hidden="false" customHeight="false" outlineLevel="0" collapsed="false">
      <c r="B24" s="7" t="s">
        <v>28</v>
      </c>
    </row>
    <row r="25" customFormat="false" ht="15" hidden="false" customHeight="false" outlineLevel="0" collapsed="false">
      <c r="B25" s="8" t="s">
        <v>29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8" min="3" style="0" width="16"/>
  </cols>
  <sheetData>
    <row r="2" customFormat="false" ht="19.7" hidden="false" customHeight="false" outlineLevel="0" collapsed="false">
      <c r="B2" s="9" t="s">
        <v>30</v>
      </c>
      <c r="C2" s="9"/>
      <c r="D2" s="9"/>
      <c r="E2" s="9"/>
      <c r="F2" s="9"/>
      <c r="G2" s="9"/>
      <c r="H2" s="9"/>
    </row>
    <row r="4" customFormat="false" ht="15" hidden="false" customHeight="false" outlineLevel="0" collapsed="false">
      <c r="B4" s="10" t="s">
        <v>31</v>
      </c>
      <c r="C4" s="10" t="s">
        <v>32</v>
      </c>
      <c r="D4" s="10" t="s">
        <v>33</v>
      </c>
      <c r="E4" s="10" t="s">
        <v>34</v>
      </c>
      <c r="F4" s="10" t="s">
        <v>35</v>
      </c>
      <c r="G4" s="10" t="s">
        <v>36</v>
      </c>
      <c r="H4" s="10" t="s">
        <v>37</v>
      </c>
    </row>
    <row r="5" customFormat="false" ht="15" hidden="false" customHeight="false" outlineLevel="0" collapsed="false">
      <c r="B5" s="11" t="s">
        <v>38</v>
      </c>
      <c r="C5" s="12" t="n">
        <f aca="false">COUNTIF('Test Case Index'!$B$2:$B$105,$B5)</f>
        <v>10</v>
      </c>
      <c r="D5" s="12" t="n">
        <f aca="false">COUNTIFS('Test Case Index'!$B$2:$B$105,$B5,'Test Case Index'!$L$2:$L$105,"Pass")</f>
        <v>0</v>
      </c>
      <c r="E5" s="12" t="n">
        <f aca="false">COUNTIFS('Test Case Index'!$B$2:$B$105,$B5,'Test Case Index'!$L$2:$L$105,"Fail")</f>
        <v>0</v>
      </c>
      <c r="F5" s="12" t="n">
        <f aca="false">COUNTIFS('Test Case Index'!$B$2:$B$105,$B5,'Test Case Index'!$L$2:$L$105,"Blocked")</f>
        <v>0</v>
      </c>
      <c r="G5" s="12" t="n">
        <f aca="false">COUNTIFS('Test Case Index'!$B$2:$B$105,$B5,'Test Case Index'!$L$2:$L$105,"In Progress")</f>
        <v>0</v>
      </c>
      <c r="H5" s="12" t="n">
        <f aca="false">COUNTIFS('Test Case Index'!$B$2:$B$105,$B5,'Test Case Index'!$L$2:$L$105,"Not Run")</f>
        <v>10</v>
      </c>
    </row>
    <row r="6" customFormat="false" ht="15" hidden="false" customHeight="false" outlineLevel="0" collapsed="false">
      <c r="B6" s="13" t="s">
        <v>39</v>
      </c>
      <c r="C6" s="14" t="n">
        <f aca="false">COUNTIF('Test Case Index'!$B$2:$B$105,$B6)</f>
        <v>6</v>
      </c>
      <c r="D6" s="14" t="n">
        <f aca="false">COUNTIFS('Test Case Index'!$B$2:$B$105,$B6,'Test Case Index'!$L$2:$L$105,"Pass")</f>
        <v>0</v>
      </c>
      <c r="E6" s="14" t="n">
        <f aca="false">COUNTIFS('Test Case Index'!$B$2:$B$105,$B6,'Test Case Index'!$L$2:$L$105,"Fail")</f>
        <v>0</v>
      </c>
      <c r="F6" s="14" t="n">
        <f aca="false">COUNTIFS('Test Case Index'!$B$2:$B$105,$B6,'Test Case Index'!$L$2:$L$105,"Blocked")</f>
        <v>0</v>
      </c>
      <c r="G6" s="14" t="n">
        <f aca="false">COUNTIFS('Test Case Index'!$B$2:$B$105,$B6,'Test Case Index'!$L$2:$L$105,"In Progress")</f>
        <v>0</v>
      </c>
      <c r="H6" s="14" t="n">
        <f aca="false">COUNTIFS('Test Case Index'!$B$2:$B$105,$B6,'Test Case Index'!$L$2:$L$105,"Not Run")</f>
        <v>6</v>
      </c>
    </row>
    <row r="7" customFormat="false" ht="15" hidden="false" customHeight="false" outlineLevel="0" collapsed="false">
      <c r="B7" s="11" t="s">
        <v>40</v>
      </c>
      <c r="C7" s="12" t="n">
        <f aca="false">COUNTIF('Test Case Index'!$B$2:$B$105,$B7)</f>
        <v>4</v>
      </c>
      <c r="D7" s="12" t="n">
        <f aca="false">COUNTIFS('Test Case Index'!$B$2:$B$105,$B7,'Test Case Index'!$L$2:$L$105,"Pass")</f>
        <v>0</v>
      </c>
      <c r="E7" s="12" t="n">
        <f aca="false">COUNTIFS('Test Case Index'!$B$2:$B$105,$B7,'Test Case Index'!$L$2:$L$105,"Fail")</f>
        <v>0</v>
      </c>
      <c r="F7" s="12" t="n">
        <f aca="false">COUNTIFS('Test Case Index'!$B$2:$B$105,$B7,'Test Case Index'!$L$2:$L$105,"Blocked")</f>
        <v>0</v>
      </c>
      <c r="G7" s="12" t="n">
        <f aca="false">COUNTIFS('Test Case Index'!$B$2:$B$105,$B7,'Test Case Index'!$L$2:$L$105,"In Progress")</f>
        <v>0</v>
      </c>
      <c r="H7" s="12" t="n">
        <f aca="false">COUNTIFS('Test Case Index'!$B$2:$B$105,$B7,'Test Case Index'!$L$2:$L$105,"Not Run")</f>
        <v>4</v>
      </c>
    </row>
    <row r="8" customFormat="false" ht="15" hidden="false" customHeight="false" outlineLevel="0" collapsed="false">
      <c r="B8" s="13" t="s">
        <v>41</v>
      </c>
      <c r="C8" s="14" t="n">
        <f aca="false">COUNTIF('Test Case Index'!$B$2:$B$105,$B8)</f>
        <v>5</v>
      </c>
      <c r="D8" s="14" t="n">
        <f aca="false">COUNTIFS('Test Case Index'!$B$2:$B$105,$B8,'Test Case Index'!$L$2:$L$105,"Pass")</f>
        <v>0</v>
      </c>
      <c r="E8" s="14" t="n">
        <f aca="false">COUNTIFS('Test Case Index'!$B$2:$B$105,$B8,'Test Case Index'!$L$2:$L$105,"Fail")</f>
        <v>0</v>
      </c>
      <c r="F8" s="14" t="n">
        <f aca="false">COUNTIFS('Test Case Index'!$B$2:$B$105,$B8,'Test Case Index'!$L$2:$L$105,"Blocked")</f>
        <v>0</v>
      </c>
      <c r="G8" s="14" t="n">
        <f aca="false">COUNTIFS('Test Case Index'!$B$2:$B$105,$B8,'Test Case Index'!$L$2:$L$105,"In Progress")</f>
        <v>0</v>
      </c>
      <c r="H8" s="14" t="n">
        <f aca="false">COUNTIFS('Test Case Index'!$B$2:$B$105,$B8,'Test Case Index'!$L$2:$L$105,"Not Run")</f>
        <v>5</v>
      </c>
    </row>
    <row r="9" customFormat="false" ht="15" hidden="false" customHeight="false" outlineLevel="0" collapsed="false">
      <c r="B9" s="11" t="s">
        <v>42</v>
      </c>
      <c r="C9" s="12" t="n">
        <f aca="false">COUNTIF('Test Case Index'!$B$2:$B$105,$B9)</f>
        <v>6</v>
      </c>
      <c r="D9" s="12" t="n">
        <f aca="false">COUNTIFS('Test Case Index'!$B$2:$B$105,$B9,'Test Case Index'!$L$2:$L$105,"Pass")</f>
        <v>0</v>
      </c>
      <c r="E9" s="12" t="n">
        <f aca="false">COUNTIFS('Test Case Index'!$B$2:$B$105,$B9,'Test Case Index'!$L$2:$L$105,"Fail")</f>
        <v>0</v>
      </c>
      <c r="F9" s="12" t="n">
        <f aca="false">COUNTIFS('Test Case Index'!$B$2:$B$105,$B9,'Test Case Index'!$L$2:$L$105,"Blocked")</f>
        <v>0</v>
      </c>
      <c r="G9" s="12" t="n">
        <f aca="false">COUNTIFS('Test Case Index'!$B$2:$B$105,$B9,'Test Case Index'!$L$2:$L$105,"In Progress")</f>
        <v>0</v>
      </c>
      <c r="H9" s="12" t="n">
        <f aca="false">COUNTIFS('Test Case Index'!$B$2:$B$105,$B9,'Test Case Index'!$L$2:$L$105,"Not Run")</f>
        <v>6</v>
      </c>
    </row>
    <row r="10" customFormat="false" ht="15" hidden="false" customHeight="false" outlineLevel="0" collapsed="false">
      <c r="B10" s="13" t="s">
        <v>43</v>
      </c>
      <c r="C10" s="14" t="n">
        <f aca="false">COUNTIF('Test Case Index'!$B$2:$B$105,$B10)</f>
        <v>7</v>
      </c>
      <c r="D10" s="14" t="n">
        <f aca="false">COUNTIFS('Test Case Index'!$B$2:$B$105,$B10,'Test Case Index'!$L$2:$L$105,"Pass")</f>
        <v>0</v>
      </c>
      <c r="E10" s="14" t="n">
        <f aca="false">COUNTIFS('Test Case Index'!$B$2:$B$105,$B10,'Test Case Index'!$L$2:$L$105,"Fail")</f>
        <v>0</v>
      </c>
      <c r="F10" s="14" t="n">
        <f aca="false">COUNTIFS('Test Case Index'!$B$2:$B$105,$B10,'Test Case Index'!$L$2:$L$105,"Blocked")</f>
        <v>0</v>
      </c>
      <c r="G10" s="14" t="n">
        <f aca="false">COUNTIFS('Test Case Index'!$B$2:$B$105,$B10,'Test Case Index'!$L$2:$L$105,"In Progress")</f>
        <v>0</v>
      </c>
      <c r="H10" s="14" t="n">
        <f aca="false">COUNTIFS('Test Case Index'!$B$2:$B$105,$B10,'Test Case Index'!$L$2:$L$105,"Not Run")</f>
        <v>7</v>
      </c>
    </row>
    <row r="11" customFormat="false" ht="15" hidden="false" customHeight="false" outlineLevel="0" collapsed="false">
      <c r="B11" s="11" t="s">
        <v>44</v>
      </c>
      <c r="C11" s="12" t="n">
        <f aca="false">COUNTIF('Test Case Index'!$B$2:$B$105,$B11)</f>
        <v>10</v>
      </c>
      <c r="D11" s="12" t="n">
        <f aca="false">COUNTIFS('Test Case Index'!$B$2:$B$105,$B11,'Test Case Index'!$L$2:$L$105,"Pass")</f>
        <v>0</v>
      </c>
      <c r="E11" s="12" t="n">
        <f aca="false">COUNTIFS('Test Case Index'!$B$2:$B$105,$B11,'Test Case Index'!$L$2:$L$105,"Fail")</f>
        <v>0</v>
      </c>
      <c r="F11" s="12" t="n">
        <f aca="false">COUNTIFS('Test Case Index'!$B$2:$B$105,$B11,'Test Case Index'!$L$2:$L$105,"Blocked")</f>
        <v>0</v>
      </c>
      <c r="G11" s="12" t="n">
        <f aca="false">COUNTIFS('Test Case Index'!$B$2:$B$105,$B11,'Test Case Index'!$L$2:$L$105,"In Progress")</f>
        <v>0</v>
      </c>
      <c r="H11" s="12" t="n">
        <f aca="false">COUNTIFS('Test Case Index'!$B$2:$B$105,$B11,'Test Case Index'!$L$2:$L$105,"Not Run")</f>
        <v>10</v>
      </c>
    </row>
    <row r="12" customFormat="false" ht="15" hidden="false" customHeight="false" outlineLevel="0" collapsed="false">
      <c r="B12" s="13" t="s">
        <v>45</v>
      </c>
      <c r="C12" s="14" t="n">
        <f aca="false">COUNTIF('Test Case Index'!$B$2:$B$105,$B12)</f>
        <v>5</v>
      </c>
      <c r="D12" s="14" t="n">
        <f aca="false">COUNTIFS('Test Case Index'!$B$2:$B$105,$B12,'Test Case Index'!$L$2:$L$105,"Pass")</f>
        <v>0</v>
      </c>
      <c r="E12" s="14" t="n">
        <f aca="false">COUNTIFS('Test Case Index'!$B$2:$B$105,$B12,'Test Case Index'!$L$2:$L$105,"Fail")</f>
        <v>0</v>
      </c>
      <c r="F12" s="14" t="n">
        <f aca="false">COUNTIFS('Test Case Index'!$B$2:$B$105,$B12,'Test Case Index'!$L$2:$L$105,"Blocked")</f>
        <v>0</v>
      </c>
      <c r="G12" s="14" t="n">
        <f aca="false">COUNTIFS('Test Case Index'!$B$2:$B$105,$B12,'Test Case Index'!$L$2:$L$105,"In Progress")</f>
        <v>0</v>
      </c>
      <c r="H12" s="14" t="n">
        <f aca="false">COUNTIFS('Test Case Index'!$B$2:$B$105,$B12,'Test Case Index'!$L$2:$L$105,"Not Run")</f>
        <v>5</v>
      </c>
    </row>
    <row r="13" customFormat="false" ht="15" hidden="false" customHeight="false" outlineLevel="0" collapsed="false">
      <c r="B13" s="11" t="s">
        <v>46</v>
      </c>
      <c r="C13" s="12" t="n">
        <f aca="false">COUNTIF('Test Case Index'!$B$2:$B$105,$B13)</f>
        <v>5</v>
      </c>
      <c r="D13" s="12" t="n">
        <f aca="false">COUNTIFS('Test Case Index'!$B$2:$B$105,$B13,'Test Case Index'!$L$2:$L$105,"Pass")</f>
        <v>0</v>
      </c>
      <c r="E13" s="12" t="n">
        <f aca="false">COUNTIFS('Test Case Index'!$B$2:$B$105,$B13,'Test Case Index'!$L$2:$L$105,"Fail")</f>
        <v>0</v>
      </c>
      <c r="F13" s="12" t="n">
        <f aca="false">COUNTIFS('Test Case Index'!$B$2:$B$105,$B13,'Test Case Index'!$L$2:$L$105,"Blocked")</f>
        <v>0</v>
      </c>
      <c r="G13" s="12" t="n">
        <f aca="false">COUNTIFS('Test Case Index'!$B$2:$B$105,$B13,'Test Case Index'!$L$2:$L$105,"In Progress")</f>
        <v>0</v>
      </c>
      <c r="H13" s="12" t="n">
        <f aca="false">COUNTIFS('Test Case Index'!$B$2:$B$105,$B13,'Test Case Index'!$L$2:$L$105,"Not Run")</f>
        <v>5</v>
      </c>
    </row>
    <row r="14" customFormat="false" ht="15" hidden="false" customHeight="false" outlineLevel="0" collapsed="false">
      <c r="B14" s="13" t="s">
        <v>47</v>
      </c>
      <c r="C14" s="14" t="n">
        <f aca="false">COUNTIF('Test Case Index'!$B$2:$B$105,$B14)</f>
        <v>4</v>
      </c>
      <c r="D14" s="14" t="n">
        <f aca="false">COUNTIFS('Test Case Index'!$B$2:$B$105,$B14,'Test Case Index'!$L$2:$L$105,"Pass")</f>
        <v>0</v>
      </c>
      <c r="E14" s="14" t="n">
        <f aca="false">COUNTIFS('Test Case Index'!$B$2:$B$105,$B14,'Test Case Index'!$L$2:$L$105,"Fail")</f>
        <v>0</v>
      </c>
      <c r="F14" s="14" t="n">
        <f aca="false">COUNTIFS('Test Case Index'!$B$2:$B$105,$B14,'Test Case Index'!$L$2:$L$105,"Blocked")</f>
        <v>0</v>
      </c>
      <c r="G14" s="14" t="n">
        <f aca="false">COUNTIFS('Test Case Index'!$B$2:$B$105,$B14,'Test Case Index'!$L$2:$L$105,"In Progress")</f>
        <v>0</v>
      </c>
      <c r="H14" s="14" t="n">
        <f aca="false">COUNTIFS('Test Case Index'!$B$2:$B$105,$B14,'Test Case Index'!$L$2:$L$105,"Not Run")</f>
        <v>4</v>
      </c>
    </row>
    <row r="15" customFormat="false" ht="15" hidden="false" customHeight="false" outlineLevel="0" collapsed="false">
      <c r="B15" s="11" t="s">
        <v>48</v>
      </c>
      <c r="C15" s="12" t="n">
        <f aca="false">COUNTIF('Test Case Index'!$B$2:$B$105,$B15)</f>
        <v>5</v>
      </c>
      <c r="D15" s="12" t="n">
        <f aca="false">COUNTIFS('Test Case Index'!$B$2:$B$105,$B15,'Test Case Index'!$L$2:$L$105,"Pass")</f>
        <v>0</v>
      </c>
      <c r="E15" s="12" t="n">
        <f aca="false">COUNTIFS('Test Case Index'!$B$2:$B$105,$B15,'Test Case Index'!$L$2:$L$105,"Fail")</f>
        <v>0</v>
      </c>
      <c r="F15" s="12" t="n">
        <f aca="false">COUNTIFS('Test Case Index'!$B$2:$B$105,$B15,'Test Case Index'!$L$2:$L$105,"Blocked")</f>
        <v>0</v>
      </c>
      <c r="G15" s="12" t="n">
        <f aca="false">COUNTIFS('Test Case Index'!$B$2:$B$105,$B15,'Test Case Index'!$L$2:$L$105,"In Progress")</f>
        <v>0</v>
      </c>
      <c r="H15" s="12" t="n">
        <f aca="false">COUNTIFS('Test Case Index'!$B$2:$B$105,$B15,'Test Case Index'!$L$2:$L$105,"Not Run")</f>
        <v>5</v>
      </c>
    </row>
    <row r="16" customFormat="false" ht="15" hidden="false" customHeight="false" outlineLevel="0" collapsed="false">
      <c r="B16" s="13" t="s">
        <v>49</v>
      </c>
      <c r="C16" s="14" t="n">
        <f aca="false">COUNTIF('Test Case Index'!$B$2:$B$105,$B16)</f>
        <v>4</v>
      </c>
      <c r="D16" s="14" t="n">
        <f aca="false">COUNTIFS('Test Case Index'!$B$2:$B$105,$B16,'Test Case Index'!$L$2:$L$105,"Pass")</f>
        <v>0</v>
      </c>
      <c r="E16" s="14" t="n">
        <f aca="false">COUNTIFS('Test Case Index'!$B$2:$B$105,$B16,'Test Case Index'!$L$2:$L$105,"Fail")</f>
        <v>0</v>
      </c>
      <c r="F16" s="14" t="n">
        <f aca="false">COUNTIFS('Test Case Index'!$B$2:$B$105,$B16,'Test Case Index'!$L$2:$L$105,"Blocked")</f>
        <v>0</v>
      </c>
      <c r="G16" s="14" t="n">
        <f aca="false">COUNTIFS('Test Case Index'!$B$2:$B$105,$B16,'Test Case Index'!$L$2:$L$105,"In Progress")</f>
        <v>0</v>
      </c>
      <c r="H16" s="14" t="n">
        <f aca="false">COUNTIFS('Test Case Index'!$B$2:$B$105,$B16,'Test Case Index'!$L$2:$L$105,"Not Run")</f>
        <v>4</v>
      </c>
    </row>
    <row r="17" customFormat="false" ht="15" hidden="false" customHeight="false" outlineLevel="0" collapsed="false">
      <c r="B17" s="11" t="s">
        <v>50</v>
      </c>
      <c r="C17" s="12" t="n">
        <f aca="false">COUNTIF('Test Case Index'!$B$2:$B$105,$B17)</f>
        <v>7</v>
      </c>
      <c r="D17" s="12" t="n">
        <f aca="false">COUNTIFS('Test Case Index'!$B$2:$B$105,$B17,'Test Case Index'!$L$2:$L$105,"Pass")</f>
        <v>0</v>
      </c>
      <c r="E17" s="12" t="n">
        <f aca="false">COUNTIFS('Test Case Index'!$B$2:$B$105,$B17,'Test Case Index'!$L$2:$L$105,"Fail")</f>
        <v>0</v>
      </c>
      <c r="F17" s="12" t="n">
        <f aca="false">COUNTIFS('Test Case Index'!$B$2:$B$105,$B17,'Test Case Index'!$L$2:$L$105,"Blocked")</f>
        <v>0</v>
      </c>
      <c r="G17" s="12" t="n">
        <f aca="false">COUNTIFS('Test Case Index'!$B$2:$B$105,$B17,'Test Case Index'!$L$2:$L$105,"In Progress")</f>
        <v>0</v>
      </c>
      <c r="H17" s="12" t="n">
        <f aca="false">COUNTIFS('Test Case Index'!$B$2:$B$105,$B17,'Test Case Index'!$L$2:$L$105,"Not Run")</f>
        <v>7</v>
      </c>
    </row>
    <row r="18" customFormat="false" ht="15" hidden="false" customHeight="false" outlineLevel="0" collapsed="false">
      <c r="B18" s="13" t="s">
        <v>51</v>
      </c>
      <c r="C18" s="14" t="n">
        <f aca="false">COUNTIF('Test Case Index'!$B$2:$B$105,$B18)</f>
        <v>5</v>
      </c>
      <c r="D18" s="14" t="n">
        <f aca="false">COUNTIFS('Test Case Index'!$B$2:$B$105,$B18,'Test Case Index'!$L$2:$L$105,"Pass")</f>
        <v>0</v>
      </c>
      <c r="E18" s="14" t="n">
        <f aca="false">COUNTIFS('Test Case Index'!$B$2:$B$105,$B18,'Test Case Index'!$L$2:$L$105,"Fail")</f>
        <v>0</v>
      </c>
      <c r="F18" s="14" t="n">
        <f aca="false">COUNTIFS('Test Case Index'!$B$2:$B$105,$B18,'Test Case Index'!$L$2:$L$105,"Blocked")</f>
        <v>0</v>
      </c>
      <c r="G18" s="14" t="n">
        <f aca="false">COUNTIFS('Test Case Index'!$B$2:$B$105,$B18,'Test Case Index'!$L$2:$L$105,"In Progress")</f>
        <v>0</v>
      </c>
      <c r="H18" s="14" t="n">
        <f aca="false">COUNTIFS('Test Case Index'!$B$2:$B$105,$B18,'Test Case Index'!$L$2:$L$105,"Not Run")</f>
        <v>5</v>
      </c>
    </row>
    <row r="19" customFormat="false" ht="15" hidden="false" customHeight="false" outlineLevel="0" collapsed="false">
      <c r="B19" s="11" t="s">
        <v>52</v>
      </c>
      <c r="C19" s="12" t="n">
        <f aca="false">COUNTIF('Test Case Index'!$B$2:$B$105,$B19)</f>
        <v>4</v>
      </c>
      <c r="D19" s="12" t="n">
        <f aca="false">COUNTIFS('Test Case Index'!$B$2:$B$105,$B19,'Test Case Index'!$L$2:$L$105,"Pass")</f>
        <v>0</v>
      </c>
      <c r="E19" s="12" t="n">
        <f aca="false">COUNTIFS('Test Case Index'!$B$2:$B$105,$B19,'Test Case Index'!$L$2:$L$105,"Fail")</f>
        <v>0</v>
      </c>
      <c r="F19" s="12" t="n">
        <f aca="false">COUNTIFS('Test Case Index'!$B$2:$B$105,$B19,'Test Case Index'!$L$2:$L$105,"Blocked")</f>
        <v>0</v>
      </c>
      <c r="G19" s="12" t="n">
        <f aca="false">COUNTIFS('Test Case Index'!$B$2:$B$105,$B19,'Test Case Index'!$L$2:$L$105,"In Progress")</f>
        <v>0</v>
      </c>
      <c r="H19" s="12" t="n">
        <f aca="false">COUNTIFS('Test Case Index'!$B$2:$B$105,$B19,'Test Case Index'!$L$2:$L$105,"Not Run")</f>
        <v>4</v>
      </c>
    </row>
    <row r="20" customFormat="false" ht="15" hidden="false" customHeight="false" outlineLevel="0" collapsed="false">
      <c r="B20" s="13" t="s">
        <v>53</v>
      </c>
      <c r="C20" s="14" t="n">
        <f aca="false">COUNTIF('Test Case Index'!$B$2:$B$105,$B20)</f>
        <v>3</v>
      </c>
      <c r="D20" s="14" t="n">
        <f aca="false">COUNTIFS('Test Case Index'!$B$2:$B$105,$B20,'Test Case Index'!$L$2:$L$105,"Pass")</f>
        <v>0</v>
      </c>
      <c r="E20" s="14" t="n">
        <f aca="false">COUNTIFS('Test Case Index'!$B$2:$B$105,$B20,'Test Case Index'!$L$2:$L$105,"Fail")</f>
        <v>0</v>
      </c>
      <c r="F20" s="14" t="n">
        <f aca="false">COUNTIFS('Test Case Index'!$B$2:$B$105,$B20,'Test Case Index'!$L$2:$L$105,"Blocked")</f>
        <v>0</v>
      </c>
      <c r="G20" s="14" t="n">
        <f aca="false">COUNTIFS('Test Case Index'!$B$2:$B$105,$B20,'Test Case Index'!$L$2:$L$105,"In Progress")</f>
        <v>0</v>
      </c>
      <c r="H20" s="14" t="n">
        <f aca="false">COUNTIFS('Test Case Index'!$B$2:$B$105,$B20,'Test Case Index'!$L$2:$L$105,"Not Run")</f>
        <v>3</v>
      </c>
    </row>
    <row r="21" customFormat="false" ht="15" hidden="false" customHeight="false" outlineLevel="0" collapsed="false">
      <c r="B21" s="11" t="s">
        <v>54</v>
      </c>
      <c r="C21" s="12" t="n">
        <f aca="false">COUNTIF('Test Case Index'!$B$2:$B$105,$B21)</f>
        <v>3</v>
      </c>
      <c r="D21" s="12" t="n">
        <f aca="false">COUNTIFS('Test Case Index'!$B$2:$B$105,$B21,'Test Case Index'!$L$2:$L$105,"Pass")</f>
        <v>0</v>
      </c>
      <c r="E21" s="12" t="n">
        <f aca="false">COUNTIFS('Test Case Index'!$B$2:$B$105,$B21,'Test Case Index'!$L$2:$L$105,"Fail")</f>
        <v>0</v>
      </c>
      <c r="F21" s="12" t="n">
        <f aca="false">COUNTIFS('Test Case Index'!$B$2:$B$105,$B21,'Test Case Index'!$L$2:$L$105,"Blocked")</f>
        <v>0</v>
      </c>
      <c r="G21" s="12" t="n">
        <f aca="false">COUNTIFS('Test Case Index'!$B$2:$B$105,$B21,'Test Case Index'!$L$2:$L$105,"In Progress")</f>
        <v>0</v>
      </c>
      <c r="H21" s="12" t="n">
        <f aca="false">COUNTIFS('Test Case Index'!$B$2:$B$105,$B21,'Test Case Index'!$L$2:$L$105,"Not Run")</f>
        <v>3</v>
      </c>
    </row>
    <row r="22" customFormat="false" ht="15" hidden="false" customHeight="false" outlineLevel="0" collapsed="false">
      <c r="B22" s="13" t="s">
        <v>55</v>
      </c>
      <c r="C22" s="14" t="n">
        <f aca="false">COUNTIF('Test Case Index'!$B$2:$B$105,$B22)</f>
        <v>2</v>
      </c>
      <c r="D22" s="14" t="n">
        <f aca="false">COUNTIFS('Test Case Index'!$B$2:$B$105,$B22,'Test Case Index'!$L$2:$L$105,"Pass")</f>
        <v>0</v>
      </c>
      <c r="E22" s="14" t="n">
        <f aca="false">COUNTIFS('Test Case Index'!$B$2:$B$105,$B22,'Test Case Index'!$L$2:$L$105,"Fail")</f>
        <v>0</v>
      </c>
      <c r="F22" s="14" t="n">
        <f aca="false">COUNTIFS('Test Case Index'!$B$2:$B$105,$B22,'Test Case Index'!$L$2:$L$105,"Blocked")</f>
        <v>0</v>
      </c>
      <c r="G22" s="14" t="n">
        <f aca="false">COUNTIFS('Test Case Index'!$B$2:$B$105,$B22,'Test Case Index'!$L$2:$L$105,"In Progress")</f>
        <v>0</v>
      </c>
      <c r="H22" s="14" t="n">
        <f aca="false">COUNTIFS('Test Case Index'!$B$2:$B$105,$B22,'Test Case Index'!$L$2:$L$105,"Not Run")</f>
        <v>2</v>
      </c>
    </row>
    <row r="23" customFormat="false" ht="15" hidden="false" customHeight="false" outlineLevel="0" collapsed="false">
      <c r="B23" s="11" t="s">
        <v>56</v>
      </c>
      <c r="C23" s="12" t="n">
        <f aca="false">COUNTIF('Test Case Index'!$B$2:$B$105,$B23)</f>
        <v>3</v>
      </c>
      <c r="D23" s="12" t="n">
        <f aca="false">COUNTIFS('Test Case Index'!$B$2:$B$105,$B23,'Test Case Index'!$L$2:$L$105,"Pass")</f>
        <v>0</v>
      </c>
      <c r="E23" s="12" t="n">
        <f aca="false">COUNTIFS('Test Case Index'!$B$2:$B$105,$B23,'Test Case Index'!$L$2:$L$105,"Fail")</f>
        <v>0</v>
      </c>
      <c r="F23" s="12" t="n">
        <f aca="false">COUNTIFS('Test Case Index'!$B$2:$B$105,$B23,'Test Case Index'!$L$2:$L$105,"Blocked")</f>
        <v>0</v>
      </c>
      <c r="G23" s="12" t="n">
        <f aca="false">COUNTIFS('Test Case Index'!$B$2:$B$105,$B23,'Test Case Index'!$L$2:$L$105,"In Progress")</f>
        <v>0</v>
      </c>
      <c r="H23" s="12" t="n">
        <f aca="false">COUNTIFS('Test Case Index'!$B$2:$B$105,$B23,'Test Case Index'!$L$2:$L$105,"Not Run")</f>
        <v>3</v>
      </c>
    </row>
    <row r="24" customFormat="false" ht="15" hidden="false" customHeight="false" outlineLevel="0" collapsed="false">
      <c r="B24" s="13" t="s">
        <v>57</v>
      </c>
      <c r="C24" s="14" t="n">
        <f aca="false">COUNTIF('Test Case Index'!$B$2:$B$105,$B24)</f>
        <v>3</v>
      </c>
      <c r="D24" s="14" t="n">
        <f aca="false">COUNTIFS('Test Case Index'!$B$2:$B$105,$B24,'Test Case Index'!$L$2:$L$105,"Pass")</f>
        <v>0</v>
      </c>
      <c r="E24" s="14" t="n">
        <f aca="false">COUNTIFS('Test Case Index'!$B$2:$B$105,$B24,'Test Case Index'!$L$2:$L$105,"Fail")</f>
        <v>0</v>
      </c>
      <c r="F24" s="14" t="n">
        <f aca="false">COUNTIFS('Test Case Index'!$B$2:$B$105,$B24,'Test Case Index'!$L$2:$L$105,"Blocked")</f>
        <v>0</v>
      </c>
      <c r="G24" s="14" t="n">
        <f aca="false">COUNTIFS('Test Case Index'!$B$2:$B$105,$B24,'Test Case Index'!$L$2:$L$105,"In Progress")</f>
        <v>0</v>
      </c>
      <c r="H24" s="14" t="n">
        <f aca="false">COUNTIFS('Test Case Index'!$B$2:$B$105,$B24,'Test Case Index'!$L$2:$L$105,"Not Run")</f>
        <v>3</v>
      </c>
    </row>
    <row r="25" customFormat="false" ht="15" hidden="false" customHeight="false" outlineLevel="0" collapsed="false">
      <c r="B25" s="11" t="s">
        <v>58</v>
      </c>
      <c r="C25" s="12" t="n">
        <f aca="false">COUNTIF('Test Case Index'!$B$2:$B$105,$B25)</f>
        <v>3</v>
      </c>
      <c r="D25" s="12" t="n">
        <f aca="false">COUNTIFS('Test Case Index'!$B$2:$B$105,$B25,'Test Case Index'!$L$2:$L$105,"Pass")</f>
        <v>0</v>
      </c>
      <c r="E25" s="12" t="n">
        <f aca="false">COUNTIFS('Test Case Index'!$B$2:$B$105,$B25,'Test Case Index'!$L$2:$L$105,"Fail")</f>
        <v>0</v>
      </c>
      <c r="F25" s="12" t="n">
        <f aca="false">COUNTIFS('Test Case Index'!$B$2:$B$105,$B25,'Test Case Index'!$L$2:$L$105,"Blocked")</f>
        <v>0</v>
      </c>
      <c r="G25" s="12" t="n">
        <f aca="false">COUNTIFS('Test Case Index'!$B$2:$B$105,$B25,'Test Case Index'!$L$2:$L$105,"In Progress")</f>
        <v>0</v>
      </c>
      <c r="H25" s="12" t="n">
        <f aca="false">COUNTIFS('Test Case Index'!$B$2:$B$105,$B25,'Test Case Index'!$L$2:$L$105,"Not Run")</f>
        <v>3</v>
      </c>
    </row>
    <row r="26" customFormat="false" ht="15" hidden="false" customHeight="false" outlineLevel="0" collapsed="false">
      <c r="B26" s="15" t="s">
        <v>59</v>
      </c>
      <c r="C26" s="16" t="n">
        <f aca="false">SUM(C5:C25)</f>
        <v>104</v>
      </c>
      <c r="D26" s="16" t="n">
        <f aca="false">SUM(D5:D25)</f>
        <v>0</v>
      </c>
      <c r="E26" s="16" t="n">
        <f aca="false">SUM(E5:E25)</f>
        <v>0</v>
      </c>
      <c r="F26" s="16" t="n">
        <f aca="false">SUM(F5:F25)</f>
        <v>0</v>
      </c>
      <c r="G26" s="16" t="n">
        <f aca="false">SUM(G5:G25)</f>
        <v>0</v>
      </c>
      <c r="H26" s="16" t="n">
        <f aca="false">SUM(H5:H25)</f>
        <v>104</v>
      </c>
    </row>
    <row r="28" customFormat="false" ht="15" hidden="false" customHeight="false" outlineLevel="0" collapsed="false">
      <c r="B28" s="17" t="s">
        <v>60</v>
      </c>
      <c r="C28" s="18" t="n">
        <f aca="false">IFERROR(D26/(D26+E26+F26),0)</f>
        <v>0</v>
      </c>
    </row>
    <row r="29" customFormat="false" ht="15" hidden="false" customHeight="false" outlineLevel="0" collapsed="false">
      <c r="B29" s="19" t="s">
        <v>61</v>
      </c>
      <c r="C29" s="20" t="n">
        <f aca="false">D26+E26+F26</f>
        <v>0</v>
      </c>
    </row>
    <row r="30" customFormat="false" ht="15" hidden="false" customHeight="false" outlineLevel="0" collapsed="false">
      <c r="B30" s="19" t="s">
        <v>62</v>
      </c>
      <c r="C30" s="20" t="n">
        <f aca="false">C26</f>
        <v>104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9"/>
    <col collapsed="false" customWidth="true" hidden="false" outlineLevel="0" max="9" min="9" style="0" width="40"/>
    <col collapsed="false" customWidth="true" hidden="false" outlineLevel="0" max="10" min="10" style="0" width="44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26"/>
  </cols>
  <sheetData>
    <row r="1" customFormat="false" ht="15" hidden="false" customHeight="false" outlineLevel="0" collapsed="false">
      <c r="A1" s="21" t="s">
        <v>63</v>
      </c>
      <c r="B1" s="21" t="s">
        <v>31</v>
      </c>
      <c r="C1" s="21" t="s">
        <v>64</v>
      </c>
      <c r="D1" s="21" t="s">
        <v>65</v>
      </c>
      <c r="E1" s="21" t="s">
        <v>66</v>
      </c>
      <c r="F1" s="21" t="s">
        <v>67</v>
      </c>
      <c r="G1" s="21" t="s">
        <v>68</v>
      </c>
      <c r="H1" s="21" t="s">
        <v>69</v>
      </c>
      <c r="I1" s="21" t="s">
        <v>70</v>
      </c>
      <c r="J1" s="21" t="s">
        <v>71</v>
      </c>
      <c r="K1" s="21" t="s">
        <v>72</v>
      </c>
      <c r="L1" s="21" t="s">
        <v>73</v>
      </c>
      <c r="M1" s="21" t="s">
        <v>74</v>
      </c>
      <c r="N1" s="21" t="s">
        <v>75</v>
      </c>
      <c r="O1" s="21" t="s">
        <v>76</v>
      </c>
    </row>
    <row r="2" customFormat="false" ht="15" hidden="false" customHeight="false" outlineLevel="0" collapsed="false">
      <c r="A2" s="22" t="s">
        <v>77</v>
      </c>
      <c r="B2" s="23" t="s">
        <v>38</v>
      </c>
      <c r="C2" s="23" t="s">
        <v>78</v>
      </c>
      <c r="D2" s="23" t="s">
        <v>79</v>
      </c>
      <c r="E2" s="24" t="s">
        <v>80</v>
      </c>
      <c r="F2" s="23" t="s">
        <v>81</v>
      </c>
      <c r="G2" s="23" t="s">
        <v>82</v>
      </c>
      <c r="H2" s="23" t="s">
        <v>83</v>
      </c>
      <c r="I2" s="23" t="s">
        <v>84</v>
      </c>
      <c r="J2" s="23" t="s">
        <v>85</v>
      </c>
      <c r="K2" s="23" t="s">
        <v>86</v>
      </c>
      <c r="L2" s="25" t="s">
        <v>37</v>
      </c>
      <c r="M2" s="23"/>
      <c r="N2" s="23"/>
      <c r="O2" s="23"/>
    </row>
    <row r="3" customFormat="false" ht="15" hidden="false" customHeight="false" outlineLevel="0" collapsed="false">
      <c r="A3" s="26" t="s">
        <v>87</v>
      </c>
      <c r="B3" s="27" t="s">
        <v>38</v>
      </c>
      <c r="C3" s="27" t="s">
        <v>78</v>
      </c>
      <c r="D3" s="27" t="s">
        <v>88</v>
      </c>
      <c r="E3" s="24" t="s">
        <v>80</v>
      </c>
      <c r="F3" s="27" t="s">
        <v>89</v>
      </c>
      <c r="G3" s="27" t="s">
        <v>90</v>
      </c>
      <c r="H3" s="27" t="s">
        <v>83</v>
      </c>
      <c r="I3" s="27" t="s">
        <v>91</v>
      </c>
      <c r="J3" s="27" t="s">
        <v>92</v>
      </c>
      <c r="K3" s="27" t="s">
        <v>86</v>
      </c>
      <c r="L3" s="28" t="s">
        <v>37</v>
      </c>
      <c r="M3" s="27"/>
      <c r="N3" s="27"/>
      <c r="O3" s="27"/>
    </row>
    <row r="4" customFormat="false" ht="22.35" hidden="false" customHeight="false" outlineLevel="0" collapsed="false">
      <c r="A4" s="22" t="s">
        <v>93</v>
      </c>
      <c r="B4" s="23" t="s">
        <v>38</v>
      </c>
      <c r="C4" s="23" t="s">
        <v>94</v>
      </c>
      <c r="D4" s="23" t="s">
        <v>95</v>
      </c>
      <c r="E4" s="29" t="s">
        <v>96</v>
      </c>
      <c r="F4" s="23" t="s">
        <v>97</v>
      </c>
      <c r="G4" s="23" t="s">
        <v>90</v>
      </c>
      <c r="H4" s="23" t="s">
        <v>98</v>
      </c>
      <c r="I4" s="23" t="s">
        <v>99</v>
      </c>
      <c r="J4" s="23" t="s">
        <v>100</v>
      </c>
      <c r="K4" s="23" t="s">
        <v>101</v>
      </c>
      <c r="L4" s="25" t="s">
        <v>37</v>
      </c>
      <c r="M4" s="23"/>
      <c r="N4" s="23"/>
      <c r="O4" s="23"/>
    </row>
    <row r="5" customFormat="false" ht="22.35" hidden="false" customHeight="false" outlineLevel="0" collapsed="false">
      <c r="A5" s="26" t="s">
        <v>102</v>
      </c>
      <c r="B5" s="27" t="s">
        <v>38</v>
      </c>
      <c r="C5" s="27" t="s">
        <v>103</v>
      </c>
      <c r="D5" s="27" t="s">
        <v>104</v>
      </c>
      <c r="E5" s="24" t="s">
        <v>80</v>
      </c>
      <c r="F5" s="27" t="s">
        <v>81</v>
      </c>
      <c r="G5" s="27" t="s">
        <v>105</v>
      </c>
      <c r="H5" s="27" t="s">
        <v>83</v>
      </c>
      <c r="I5" s="27" t="s">
        <v>106</v>
      </c>
      <c r="J5" s="27" t="s">
        <v>107</v>
      </c>
      <c r="K5" s="27" t="s">
        <v>108</v>
      </c>
      <c r="L5" s="28" t="s">
        <v>37</v>
      </c>
      <c r="M5" s="27"/>
      <c r="N5" s="27"/>
      <c r="O5" s="27"/>
    </row>
    <row r="6" customFormat="false" ht="15" hidden="false" customHeight="false" outlineLevel="0" collapsed="false">
      <c r="A6" s="22" t="s">
        <v>109</v>
      </c>
      <c r="B6" s="23" t="s">
        <v>38</v>
      </c>
      <c r="C6" s="23" t="s">
        <v>103</v>
      </c>
      <c r="D6" s="23" t="s">
        <v>110</v>
      </c>
      <c r="E6" s="24" t="s">
        <v>80</v>
      </c>
      <c r="F6" s="23" t="s">
        <v>81</v>
      </c>
      <c r="G6" s="23" t="s">
        <v>111</v>
      </c>
      <c r="H6" s="23" t="s">
        <v>83</v>
      </c>
      <c r="I6" s="23" t="s">
        <v>112</v>
      </c>
      <c r="J6" s="23" t="s">
        <v>113</v>
      </c>
      <c r="K6" s="23" t="s">
        <v>108</v>
      </c>
      <c r="L6" s="25" t="s">
        <v>37</v>
      </c>
      <c r="M6" s="23"/>
      <c r="N6" s="23"/>
      <c r="O6" s="23"/>
    </row>
    <row r="7" customFormat="false" ht="15" hidden="false" customHeight="false" outlineLevel="0" collapsed="false">
      <c r="A7" s="26" t="s">
        <v>114</v>
      </c>
      <c r="B7" s="27" t="s">
        <v>38</v>
      </c>
      <c r="C7" s="27" t="s">
        <v>115</v>
      </c>
      <c r="D7" s="27" t="s">
        <v>116</v>
      </c>
      <c r="E7" s="29" t="s">
        <v>96</v>
      </c>
      <c r="F7" s="27" t="s">
        <v>81</v>
      </c>
      <c r="G7" s="27" t="s">
        <v>117</v>
      </c>
      <c r="H7" s="27" t="s">
        <v>83</v>
      </c>
      <c r="I7" s="27" t="s">
        <v>118</v>
      </c>
      <c r="J7" s="27" t="s">
        <v>119</v>
      </c>
      <c r="K7" s="27" t="s">
        <v>101</v>
      </c>
      <c r="L7" s="28" t="s">
        <v>37</v>
      </c>
      <c r="M7" s="27"/>
      <c r="N7" s="27"/>
      <c r="O7" s="27"/>
    </row>
    <row r="8" customFormat="false" ht="15" hidden="false" customHeight="false" outlineLevel="0" collapsed="false">
      <c r="A8" s="22" t="s">
        <v>120</v>
      </c>
      <c r="B8" s="23" t="s">
        <v>38</v>
      </c>
      <c r="C8" s="23" t="s">
        <v>121</v>
      </c>
      <c r="D8" s="23" t="s">
        <v>122</v>
      </c>
      <c r="E8" s="30" t="s">
        <v>123</v>
      </c>
      <c r="F8" s="23" t="s">
        <v>81</v>
      </c>
      <c r="G8" s="23" t="s">
        <v>90</v>
      </c>
      <c r="H8" s="23" t="s">
        <v>124</v>
      </c>
      <c r="I8" s="23" t="s">
        <v>125</v>
      </c>
      <c r="J8" s="23" t="s">
        <v>126</v>
      </c>
      <c r="K8" s="23" t="s">
        <v>86</v>
      </c>
      <c r="L8" s="25" t="s">
        <v>37</v>
      </c>
      <c r="M8" s="23"/>
      <c r="N8" s="23"/>
      <c r="O8" s="23"/>
    </row>
    <row r="9" customFormat="false" ht="15" hidden="false" customHeight="false" outlineLevel="0" collapsed="false">
      <c r="A9" s="26" t="s">
        <v>127</v>
      </c>
      <c r="B9" s="27" t="s">
        <v>38</v>
      </c>
      <c r="C9" s="27" t="s">
        <v>121</v>
      </c>
      <c r="D9" s="27" t="s">
        <v>128</v>
      </c>
      <c r="E9" s="24" t="s">
        <v>80</v>
      </c>
      <c r="F9" s="27" t="s">
        <v>97</v>
      </c>
      <c r="G9" s="27" t="s">
        <v>90</v>
      </c>
      <c r="H9" s="27" t="s">
        <v>83</v>
      </c>
      <c r="I9" s="27" t="s">
        <v>129</v>
      </c>
      <c r="J9" s="27" t="s">
        <v>130</v>
      </c>
      <c r="K9" s="27" t="s">
        <v>86</v>
      </c>
      <c r="L9" s="28" t="s">
        <v>37</v>
      </c>
      <c r="M9" s="27"/>
      <c r="N9" s="27"/>
      <c r="O9" s="27"/>
    </row>
    <row r="10" customFormat="false" ht="22.35" hidden="false" customHeight="false" outlineLevel="0" collapsed="false">
      <c r="A10" s="22" t="s">
        <v>131</v>
      </c>
      <c r="B10" s="23" t="s">
        <v>38</v>
      </c>
      <c r="C10" s="23" t="s">
        <v>132</v>
      </c>
      <c r="D10" s="23" t="s">
        <v>133</v>
      </c>
      <c r="E10" s="30" t="s">
        <v>123</v>
      </c>
      <c r="F10" s="23" t="s">
        <v>81</v>
      </c>
      <c r="G10" s="23" t="s">
        <v>134</v>
      </c>
      <c r="H10" s="23" t="s">
        <v>124</v>
      </c>
      <c r="I10" s="23" t="s">
        <v>135</v>
      </c>
      <c r="J10" s="23" t="s">
        <v>136</v>
      </c>
      <c r="K10" s="23" t="s">
        <v>137</v>
      </c>
      <c r="L10" s="25" t="s">
        <v>37</v>
      </c>
      <c r="M10" s="23"/>
      <c r="N10" s="23"/>
      <c r="O10" s="23"/>
    </row>
    <row r="11" customFormat="false" ht="22.35" hidden="false" customHeight="false" outlineLevel="0" collapsed="false">
      <c r="A11" s="26" t="s">
        <v>138</v>
      </c>
      <c r="B11" s="27" t="s">
        <v>38</v>
      </c>
      <c r="C11" s="27" t="s">
        <v>115</v>
      </c>
      <c r="D11" s="27" t="s">
        <v>139</v>
      </c>
      <c r="E11" s="29" t="s">
        <v>96</v>
      </c>
      <c r="F11" s="27" t="s">
        <v>81</v>
      </c>
      <c r="G11" s="27" t="s">
        <v>90</v>
      </c>
      <c r="H11" s="27" t="s">
        <v>98</v>
      </c>
      <c r="I11" s="27" t="s">
        <v>140</v>
      </c>
      <c r="J11" s="27" t="s">
        <v>141</v>
      </c>
      <c r="K11" s="27" t="s">
        <v>86</v>
      </c>
      <c r="L11" s="28" t="s">
        <v>37</v>
      </c>
      <c r="M11" s="27"/>
      <c r="N11" s="27"/>
      <c r="O11" s="27"/>
    </row>
    <row r="12" customFormat="false" ht="15" hidden="false" customHeight="false" outlineLevel="0" collapsed="false">
      <c r="A12" s="22" t="s">
        <v>142</v>
      </c>
      <c r="B12" s="23" t="s">
        <v>39</v>
      </c>
      <c r="C12" s="23" t="s">
        <v>143</v>
      </c>
      <c r="D12" s="23" t="s">
        <v>144</v>
      </c>
      <c r="E12" s="24" t="s">
        <v>80</v>
      </c>
      <c r="F12" s="23" t="s">
        <v>145</v>
      </c>
      <c r="G12" s="23" t="s">
        <v>146</v>
      </c>
      <c r="H12" s="23" t="s">
        <v>98</v>
      </c>
      <c r="I12" s="23" t="s">
        <v>147</v>
      </c>
      <c r="J12" s="23" t="s">
        <v>148</v>
      </c>
      <c r="K12" s="23" t="s">
        <v>149</v>
      </c>
      <c r="L12" s="25" t="s">
        <v>37</v>
      </c>
      <c r="M12" s="23"/>
      <c r="N12" s="23"/>
      <c r="O12" s="23"/>
    </row>
    <row r="13" customFormat="false" ht="15" hidden="false" customHeight="false" outlineLevel="0" collapsed="false">
      <c r="A13" s="26" t="s">
        <v>150</v>
      </c>
      <c r="B13" s="27" t="s">
        <v>39</v>
      </c>
      <c r="C13" s="27" t="s">
        <v>151</v>
      </c>
      <c r="D13" s="27" t="s">
        <v>152</v>
      </c>
      <c r="E13" s="24" t="s">
        <v>80</v>
      </c>
      <c r="F13" s="27" t="s">
        <v>97</v>
      </c>
      <c r="G13" s="27" t="s">
        <v>153</v>
      </c>
      <c r="H13" s="27" t="s">
        <v>83</v>
      </c>
      <c r="I13" s="27" t="s">
        <v>154</v>
      </c>
      <c r="J13" s="27" t="s">
        <v>155</v>
      </c>
      <c r="K13" s="27" t="s">
        <v>156</v>
      </c>
      <c r="L13" s="28" t="s">
        <v>37</v>
      </c>
      <c r="M13" s="27"/>
      <c r="N13" s="27"/>
      <c r="O13" s="27"/>
    </row>
    <row r="14" customFormat="false" ht="22.35" hidden="false" customHeight="false" outlineLevel="0" collapsed="false">
      <c r="A14" s="22" t="s">
        <v>157</v>
      </c>
      <c r="B14" s="23" t="s">
        <v>39</v>
      </c>
      <c r="C14" s="23" t="s">
        <v>158</v>
      </c>
      <c r="D14" s="23" t="s">
        <v>159</v>
      </c>
      <c r="E14" s="29" t="s">
        <v>96</v>
      </c>
      <c r="F14" s="23" t="s">
        <v>145</v>
      </c>
      <c r="G14" s="23" t="s">
        <v>160</v>
      </c>
      <c r="H14" s="23" t="s">
        <v>98</v>
      </c>
      <c r="I14" s="23" t="s">
        <v>161</v>
      </c>
      <c r="J14" s="23" t="s">
        <v>162</v>
      </c>
      <c r="K14" s="23" t="s">
        <v>163</v>
      </c>
      <c r="L14" s="25" t="s">
        <v>37</v>
      </c>
      <c r="M14" s="23"/>
      <c r="N14" s="23"/>
      <c r="O14" s="23"/>
    </row>
    <row r="15" customFormat="false" ht="22.35" hidden="false" customHeight="false" outlineLevel="0" collapsed="false">
      <c r="A15" s="26" t="s">
        <v>164</v>
      </c>
      <c r="B15" s="27" t="s">
        <v>39</v>
      </c>
      <c r="C15" s="27" t="s">
        <v>69</v>
      </c>
      <c r="D15" s="27" t="s">
        <v>165</v>
      </c>
      <c r="E15" s="24" t="s">
        <v>80</v>
      </c>
      <c r="F15" s="27" t="s">
        <v>145</v>
      </c>
      <c r="G15" s="27" t="s">
        <v>166</v>
      </c>
      <c r="H15" s="27" t="s">
        <v>98</v>
      </c>
      <c r="I15" s="27" t="s">
        <v>167</v>
      </c>
      <c r="J15" s="27" t="s">
        <v>168</v>
      </c>
      <c r="K15" s="27" t="s">
        <v>169</v>
      </c>
      <c r="L15" s="28" t="s">
        <v>37</v>
      </c>
      <c r="M15" s="27"/>
      <c r="N15" s="27"/>
      <c r="O15" s="27"/>
    </row>
    <row r="16" customFormat="false" ht="15" hidden="false" customHeight="false" outlineLevel="0" collapsed="false">
      <c r="A16" s="22" t="s">
        <v>170</v>
      </c>
      <c r="B16" s="23" t="s">
        <v>39</v>
      </c>
      <c r="C16" s="23" t="s">
        <v>171</v>
      </c>
      <c r="D16" s="23" t="s">
        <v>172</v>
      </c>
      <c r="E16" s="24" t="s">
        <v>80</v>
      </c>
      <c r="F16" s="23" t="s">
        <v>97</v>
      </c>
      <c r="G16" s="23" t="s">
        <v>173</v>
      </c>
      <c r="H16" s="23" t="s">
        <v>83</v>
      </c>
      <c r="I16" s="23" t="s">
        <v>174</v>
      </c>
      <c r="J16" s="23" t="s">
        <v>175</v>
      </c>
      <c r="K16" s="23" t="s">
        <v>176</v>
      </c>
      <c r="L16" s="25" t="s">
        <v>37</v>
      </c>
      <c r="M16" s="23"/>
      <c r="N16" s="23"/>
      <c r="O16" s="23"/>
    </row>
    <row r="17" customFormat="false" ht="15" hidden="false" customHeight="false" outlineLevel="0" collapsed="false">
      <c r="A17" s="26" t="s">
        <v>177</v>
      </c>
      <c r="B17" s="27" t="s">
        <v>39</v>
      </c>
      <c r="C17" s="27" t="s">
        <v>178</v>
      </c>
      <c r="D17" s="27" t="s">
        <v>179</v>
      </c>
      <c r="E17" s="29" t="s">
        <v>96</v>
      </c>
      <c r="F17" s="27" t="s">
        <v>145</v>
      </c>
      <c r="G17" s="27" t="s">
        <v>180</v>
      </c>
      <c r="H17" s="27" t="s">
        <v>98</v>
      </c>
      <c r="I17" s="27" t="s">
        <v>181</v>
      </c>
      <c r="J17" s="27" t="s">
        <v>182</v>
      </c>
      <c r="K17" s="27" t="s">
        <v>156</v>
      </c>
      <c r="L17" s="28" t="s">
        <v>37</v>
      </c>
      <c r="M17" s="27"/>
      <c r="N17" s="27"/>
      <c r="O17" s="27"/>
    </row>
    <row r="18" customFormat="false" ht="15" hidden="false" customHeight="false" outlineLevel="0" collapsed="false">
      <c r="A18" s="22" t="s">
        <v>183</v>
      </c>
      <c r="B18" s="23" t="s">
        <v>40</v>
      </c>
      <c r="C18" s="23" t="s">
        <v>16</v>
      </c>
      <c r="D18" s="23" t="s">
        <v>184</v>
      </c>
      <c r="E18" s="24" t="s">
        <v>80</v>
      </c>
      <c r="F18" s="23" t="s">
        <v>145</v>
      </c>
      <c r="G18" s="23" t="s">
        <v>185</v>
      </c>
      <c r="H18" s="23" t="s">
        <v>98</v>
      </c>
      <c r="I18" s="23" t="s">
        <v>186</v>
      </c>
      <c r="J18" s="23" t="s">
        <v>187</v>
      </c>
      <c r="K18" s="23" t="s">
        <v>188</v>
      </c>
      <c r="L18" s="25" t="s">
        <v>37</v>
      </c>
      <c r="M18" s="23"/>
      <c r="N18" s="23"/>
      <c r="O18" s="23"/>
    </row>
    <row r="19" customFormat="false" ht="22.35" hidden="false" customHeight="false" outlineLevel="0" collapsed="false">
      <c r="A19" s="26" t="s">
        <v>189</v>
      </c>
      <c r="B19" s="27" t="s">
        <v>40</v>
      </c>
      <c r="C19" s="27" t="s">
        <v>16</v>
      </c>
      <c r="D19" s="27" t="s">
        <v>190</v>
      </c>
      <c r="E19" s="24" t="s">
        <v>80</v>
      </c>
      <c r="F19" s="27" t="s">
        <v>145</v>
      </c>
      <c r="G19" s="27" t="s">
        <v>185</v>
      </c>
      <c r="H19" s="27" t="s">
        <v>98</v>
      </c>
      <c r="I19" s="27" t="s">
        <v>191</v>
      </c>
      <c r="J19" s="27" t="s">
        <v>192</v>
      </c>
      <c r="K19" s="27" t="s">
        <v>188</v>
      </c>
      <c r="L19" s="28" t="s">
        <v>37</v>
      </c>
      <c r="M19" s="27"/>
      <c r="N19" s="27"/>
      <c r="O19" s="27"/>
    </row>
    <row r="20" customFormat="false" ht="22.35" hidden="false" customHeight="false" outlineLevel="0" collapsed="false">
      <c r="A20" s="22" t="s">
        <v>193</v>
      </c>
      <c r="B20" s="23" t="s">
        <v>40</v>
      </c>
      <c r="C20" s="23" t="s">
        <v>16</v>
      </c>
      <c r="D20" s="23" t="s">
        <v>194</v>
      </c>
      <c r="E20" s="24" t="s">
        <v>80</v>
      </c>
      <c r="F20" s="23" t="s">
        <v>97</v>
      </c>
      <c r="G20" s="23" t="s">
        <v>185</v>
      </c>
      <c r="H20" s="23" t="s">
        <v>98</v>
      </c>
      <c r="I20" s="23" t="s">
        <v>195</v>
      </c>
      <c r="J20" s="23" t="s">
        <v>196</v>
      </c>
      <c r="K20" s="23" t="s">
        <v>188</v>
      </c>
      <c r="L20" s="25" t="s">
        <v>37</v>
      </c>
      <c r="M20" s="23"/>
      <c r="N20" s="23"/>
      <c r="O20" s="23"/>
    </row>
    <row r="21" customFormat="false" ht="15" hidden="false" customHeight="false" outlineLevel="0" collapsed="false">
      <c r="A21" s="26" t="s">
        <v>197</v>
      </c>
      <c r="B21" s="27" t="s">
        <v>40</v>
      </c>
      <c r="C21" s="27" t="s">
        <v>16</v>
      </c>
      <c r="D21" s="27" t="s">
        <v>198</v>
      </c>
      <c r="E21" s="29" t="s">
        <v>96</v>
      </c>
      <c r="F21" s="27" t="s">
        <v>81</v>
      </c>
      <c r="G21" s="27" t="s">
        <v>185</v>
      </c>
      <c r="H21" s="27" t="s">
        <v>98</v>
      </c>
      <c r="I21" s="27" t="s">
        <v>199</v>
      </c>
      <c r="J21" s="27" t="s">
        <v>200</v>
      </c>
      <c r="K21" s="27" t="s">
        <v>188</v>
      </c>
      <c r="L21" s="28" t="s">
        <v>37</v>
      </c>
      <c r="M21" s="27"/>
      <c r="N21" s="27"/>
      <c r="O21" s="27"/>
    </row>
    <row r="22" customFormat="false" ht="15" hidden="false" customHeight="false" outlineLevel="0" collapsed="false">
      <c r="A22" s="22" t="s">
        <v>201</v>
      </c>
      <c r="B22" s="23" t="s">
        <v>41</v>
      </c>
      <c r="C22" s="23" t="s">
        <v>202</v>
      </c>
      <c r="D22" s="23" t="s">
        <v>203</v>
      </c>
      <c r="E22" s="29" t="s">
        <v>96</v>
      </c>
      <c r="F22" s="23" t="s">
        <v>81</v>
      </c>
      <c r="G22" s="23" t="s">
        <v>204</v>
      </c>
      <c r="H22" s="23" t="s">
        <v>98</v>
      </c>
      <c r="I22" s="23" t="s">
        <v>205</v>
      </c>
      <c r="J22" s="23" t="s">
        <v>206</v>
      </c>
      <c r="K22" s="23" t="s">
        <v>207</v>
      </c>
      <c r="L22" s="25" t="s">
        <v>37</v>
      </c>
      <c r="M22" s="23"/>
      <c r="N22" s="23"/>
      <c r="O22" s="23"/>
    </row>
    <row r="23" customFormat="false" ht="22.35" hidden="false" customHeight="false" outlineLevel="0" collapsed="false">
      <c r="A23" s="26" t="s">
        <v>208</v>
      </c>
      <c r="B23" s="27" t="s">
        <v>41</v>
      </c>
      <c r="C23" s="27" t="s">
        <v>209</v>
      </c>
      <c r="D23" s="27" t="s">
        <v>210</v>
      </c>
      <c r="E23" s="29" t="s">
        <v>96</v>
      </c>
      <c r="F23" s="27" t="s">
        <v>81</v>
      </c>
      <c r="G23" s="27" t="s">
        <v>204</v>
      </c>
      <c r="H23" s="27" t="s">
        <v>98</v>
      </c>
      <c r="I23" s="27" t="s">
        <v>211</v>
      </c>
      <c r="J23" s="27" t="s">
        <v>212</v>
      </c>
      <c r="K23" s="27" t="s">
        <v>207</v>
      </c>
      <c r="L23" s="28" t="s">
        <v>37</v>
      </c>
      <c r="M23" s="27"/>
      <c r="N23" s="27"/>
      <c r="O23" s="27"/>
    </row>
    <row r="24" customFormat="false" ht="15" hidden="false" customHeight="false" outlineLevel="0" collapsed="false">
      <c r="A24" s="22" t="s">
        <v>213</v>
      </c>
      <c r="B24" s="23" t="s">
        <v>41</v>
      </c>
      <c r="C24" s="23" t="s">
        <v>214</v>
      </c>
      <c r="D24" s="23" t="s">
        <v>215</v>
      </c>
      <c r="E24" s="29" t="s">
        <v>96</v>
      </c>
      <c r="F24" s="23" t="s">
        <v>81</v>
      </c>
      <c r="G24" s="23" t="s">
        <v>204</v>
      </c>
      <c r="H24" s="23" t="s">
        <v>98</v>
      </c>
      <c r="I24" s="23" t="s">
        <v>216</v>
      </c>
      <c r="J24" s="23" t="s">
        <v>217</v>
      </c>
      <c r="K24" s="23" t="s">
        <v>207</v>
      </c>
      <c r="L24" s="25" t="s">
        <v>37</v>
      </c>
      <c r="M24" s="23"/>
      <c r="N24" s="23"/>
      <c r="O24" s="23"/>
    </row>
    <row r="25" customFormat="false" ht="15" hidden="false" customHeight="false" outlineLevel="0" collapsed="false">
      <c r="A25" s="26" t="s">
        <v>218</v>
      </c>
      <c r="B25" s="27" t="s">
        <v>41</v>
      </c>
      <c r="C25" s="27" t="s">
        <v>219</v>
      </c>
      <c r="D25" s="27" t="s">
        <v>220</v>
      </c>
      <c r="E25" s="24" t="s">
        <v>80</v>
      </c>
      <c r="F25" s="27" t="s">
        <v>81</v>
      </c>
      <c r="G25" s="27" t="s">
        <v>204</v>
      </c>
      <c r="H25" s="27" t="s">
        <v>98</v>
      </c>
      <c r="I25" s="27" t="s">
        <v>221</v>
      </c>
      <c r="J25" s="27" t="s">
        <v>222</v>
      </c>
      <c r="K25" s="27" t="s">
        <v>223</v>
      </c>
      <c r="L25" s="28" t="s">
        <v>37</v>
      </c>
      <c r="M25" s="27"/>
      <c r="N25" s="27"/>
      <c r="O25" s="27"/>
    </row>
    <row r="26" customFormat="false" ht="15" hidden="false" customHeight="false" outlineLevel="0" collapsed="false">
      <c r="A26" s="22" t="s">
        <v>224</v>
      </c>
      <c r="B26" s="23" t="s">
        <v>41</v>
      </c>
      <c r="C26" s="23" t="s">
        <v>225</v>
      </c>
      <c r="D26" s="23" t="s">
        <v>226</v>
      </c>
      <c r="E26" s="29" t="s">
        <v>96</v>
      </c>
      <c r="F26" s="23" t="s">
        <v>81</v>
      </c>
      <c r="G26" s="23" t="s">
        <v>204</v>
      </c>
      <c r="H26" s="23" t="s">
        <v>98</v>
      </c>
      <c r="I26" s="23" t="s">
        <v>227</v>
      </c>
      <c r="J26" s="23" t="s">
        <v>228</v>
      </c>
      <c r="K26" s="23" t="s">
        <v>207</v>
      </c>
      <c r="L26" s="25" t="s">
        <v>37</v>
      </c>
      <c r="M26" s="23"/>
      <c r="N26" s="23"/>
      <c r="O26" s="23"/>
    </row>
    <row r="27" customFormat="false" ht="22.35" hidden="false" customHeight="false" outlineLevel="0" collapsed="false">
      <c r="A27" s="26" t="s">
        <v>229</v>
      </c>
      <c r="B27" s="27" t="s">
        <v>42</v>
      </c>
      <c r="C27" s="27" t="s">
        <v>230</v>
      </c>
      <c r="D27" s="27" t="s">
        <v>231</v>
      </c>
      <c r="E27" s="24" t="s">
        <v>80</v>
      </c>
      <c r="F27" s="27" t="s">
        <v>81</v>
      </c>
      <c r="G27" s="27" t="s">
        <v>232</v>
      </c>
      <c r="H27" s="27" t="s">
        <v>98</v>
      </c>
      <c r="I27" s="27" t="s">
        <v>233</v>
      </c>
      <c r="J27" s="27" t="s">
        <v>234</v>
      </c>
      <c r="K27" s="27" t="s">
        <v>235</v>
      </c>
      <c r="L27" s="28" t="s">
        <v>37</v>
      </c>
      <c r="M27" s="27"/>
      <c r="N27" s="27"/>
      <c r="O27" s="27"/>
    </row>
    <row r="28" customFormat="false" ht="22.35" hidden="false" customHeight="false" outlineLevel="0" collapsed="false">
      <c r="A28" s="22" t="s">
        <v>236</v>
      </c>
      <c r="B28" s="23" t="s">
        <v>42</v>
      </c>
      <c r="C28" s="23" t="s">
        <v>230</v>
      </c>
      <c r="D28" s="23" t="s">
        <v>237</v>
      </c>
      <c r="E28" s="24" t="s">
        <v>80</v>
      </c>
      <c r="F28" s="23" t="s">
        <v>81</v>
      </c>
      <c r="G28" s="23" t="s">
        <v>232</v>
      </c>
      <c r="H28" s="23" t="s">
        <v>98</v>
      </c>
      <c r="I28" s="23" t="s">
        <v>238</v>
      </c>
      <c r="J28" s="23" t="s">
        <v>239</v>
      </c>
      <c r="K28" s="23" t="s">
        <v>235</v>
      </c>
      <c r="L28" s="25" t="s">
        <v>37</v>
      </c>
      <c r="M28" s="23"/>
      <c r="N28" s="23"/>
      <c r="O28" s="23"/>
    </row>
    <row r="29" customFormat="false" ht="15" hidden="false" customHeight="false" outlineLevel="0" collapsed="false">
      <c r="A29" s="26" t="s">
        <v>240</v>
      </c>
      <c r="B29" s="27" t="s">
        <v>42</v>
      </c>
      <c r="C29" s="27" t="s">
        <v>230</v>
      </c>
      <c r="D29" s="27" t="s">
        <v>241</v>
      </c>
      <c r="E29" s="30" t="s">
        <v>123</v>
      </c>
      <c r="F29" s="27" t="s">
        <v>81</v>
      </c>
      <c r="G29" s="27" t="s">
        <v>242</v>
      </c>
      <c r="H29" s="27" t="s">
        <v>98</v>
      </c>
      <c r="I29" s="27" t="s">
        <v>243</v>
      </c>
      <c r="J29" s="27" t="s">
        <v>244</v>
      </c>
      <c r="K29" s="27" t="s">
        <v>235</v>
      </c>
      <c r="L29" s="28" t="s">
        <v>37</v>
      </c>
      <c r="M29" s="27"/>
      <c r="N29" s="27"/>
      <c r="O29" s="27"/>
    </row>
    <row r="30" customFormat="false" ht="22.35" hidden="false" customHeight="false" outlineLevel="0" collapsed="false">
      <c r="A30" s="22" t="s">
        <v>245</v>
      </c>
      <c r="B30" s="23" t="s">
        <v>42</v>
      </c>
      <c r="C30" s="23" t="s">
        <v>230</v>
      </c>
      <c r="D30" s="23" t="s">
        <v>246</v>
      </c>
      <c r="E30" s="29" t="s">
        <v>96</v>
      </c>
      <c r="F30" s="23" t="s">
        <v>81</v>
      </c>
      <c r="G30" s="23" t="s">
        <v>232</v>
      </c>
      <c r="H30" s="23" t="s">
        <v>98</v>
      </c>
      <c r="I30" s="23" t="s">
        <v>247</v>
      </c>
      <c r="J30" s="23" t="s">
        <v>248</v>
      </c>
      <c r="K30" s="23" t="s">
        <v>249</v>
      </c>
      <c r="L30" s="25" t="s">
        <v>37</v>
      </c>
      <c r="M30" s="23"/>
      <c r="N30" s="23"/>
      <c r="O30" s="23"/>
    </row>
    <row r="31" customFormat="false" ht="22.35" hidden="false" customHeight="false" outlineLevel="0" collapsed="false">
      <c r="A31" s="26" t="s">
        <v>250</v>
      </c>
      <c r="B31" s="27" t="s">
        <v>42</v>
      </c>
      <c r="C31" s="27" t="s">
        <v>230</v>
      </c>
      <c r="D31" s="27" t="s">
        <v>251</v>
      </c>
      <c r="E31" s="29" t="s">
        <v>96</v>
      </c>
      <c r="F31" s="27" t="s">
        <v>81</v>
      </c>
      <c r="G31" s="27" t="s">
        <v>232</v>
      </c>
      <c r="H31" s="27" t="s">
        <v>98</v>
      </c>
      <c r="I31" s="27" t="s">
        <v>252</v>
      </c>
      <c r="J31" s="27" t="s">
        <v>253</v>
      </c>
      <c r="K31" s="27" t="s">
        <v>235</v>
      </c>
      <c r="L31" s="28" t="s">
        <v>37</v>
      </c>
      <c r="M31" s="27"/>
      <c r="N31" s="27"/>
      <c r="O31" s="27"/>
    </row>
    <row r="32" customFormat="false" ht="22.35" hidden="false" customHeight="false" outlineLevel="0" collapsed="false">
      <c r="A32" s="22" t="s">
        <v>254</v>
      </c>
      <c r="B32" s="23" t="s">
        <v>42</v>
      </c>
      <c r="C32" s="23" t="s">
        <v>230</v>
      </c>
      <c r="D32" s="23" t="s">
        <v>255</v>
      </c>
      <c r="E32" s="30" t="s">
        <v>123</v>
      </c>
      <c r="F32" s="23" t="s">
        <v>81</v>
      </c>
      <c r="G32" s="23" t="s">
        <v>204</v>
      </c>
      <c r="H32" s="23" t="s">
        <v>98</v>
      </c>
      <c r="I32" s="23" t="s">
        <v>256</v>
      </c>
      <c r="J32" s="23" t="s">
        <v>257</v>
      </c>
      <c r="K32" s="23" t="s">
        <v>258</v>
      </c>
      <c r="L32" s="25" t="s">
        <v>37</v>
      </c>
      <c r="M32" s="23"/>
      <c r="N32" s="23"/>
      <c r="O32" s="23"/>
    </row>
    <row r="33" customFormat="false" ht="15" hidden="false" customHeight="false" outlineLevel="0" collapsed="false">
      <c r="A33" s="26" t="s">
        <v>259</v>
      </c>
      <c r="B33" s="27" t="s">
        <v>43</v>
      </c>
      <c r="C33" s="27" t="s">
        <v>260</v>
      </c>
      <c r="D33" s="27" t="s">
        <v>261</v>
      </c>
      <c r="E33" s="24" t="s">
        <v>80</v>
      </c>
      <c r="F33" s="27" t="s">
        <v>81</v>
      </c>
      <c r="G33" s="27" t="s">
        <v>262</v>
      </c>
      <c r="H33" s="27" t="s">
        <v>83</v>
      </c>
      <c r="I33" s="27" t="s">
        <v>263</v>
      </c>
      <c r="J33" s="27" t="s">
        <v>264</v>
      </c>
      <c r="K33" s="27" t="s">
        <v>265</v>
      </c>
      <c r="L33" s="28" t="s">
        <v>37</v>
      </c>
      <c r="M33" s="27"/>
      <c r="N33" s="27"/>
      <c r="O33" s="27"/>
    </row>
    <row r="34" customFormat="false" ht="15" hidden="false" customHeight="false" outlineLevel="0" collapsed="false">
      <c r="A34" s="22" t="s">
        <v>266</v>
      </c>
      <c r="B34" s="23" t="s">
        <v>43</v>
      </c>
      <c r="C34" s="23" t="s">
        <v>260</v>
      </c>
      <c r="D34" s="23" t="s">
        <v>267</v>
      </c>
      <c r="E34" s="24" t="s">
        <v>80</v>
      </c>
      <c r="F34" s="23" t="s">
        <v>81</v>
      </c>
      <c r="G34" s="23" t="s">
        <v>268</v>
      </c>
      <c r="H34" s="23" t="s">
        <v>83</v>
      </c>
      <c r="I34" s="23" t="s">
        <v>269</v>
      </c>
      <c r="J34" s="23" t="s">
        <v>270</v>
      </c>
      <c r="K34" s="23" t="s">
        <v>265</v>
      </c>
      <c r="L34" s="25" t="s">
        <v>37</v>
      </c>
      <c r="M34" s="23"/>
      <c r="N34" s="23"/>
      <c r="O34" s="23"/>
    </row>
    <row r="35" customFormat="false" ht="15" hidden="false" customHeight="false" outlineLevel="0" collapsed="false">
      <c r="A35" s="26" t="s">
        <v>271</v>
      </c>
      <c r="B35" s="27" t="s">
        <v>43</v>
      </c>
      <c r="C35" s="27" t="s">
        <v>272</v>
      </c>
      <c r="D35" s="27" t="s">
        <v>273</v>
      </c>
      <c r="E35" s="29" t="s">
        <v>96</v>
      </c>
      <c r="F35" s="27" t="s">
        <v>81</v>
      </c>
      <c r="G35" s="27" t="s">
        <v>274</v>
      </c>
      <c r="H35" s="27" t="s">
        <v>98</v>
      </c>
      <c r="I35" s="27" t="s">
        <v>275</v>
      </c>
      <c r="J35" s="27" t="s">
        <v>276</v>
      </c>
      <c r="K35" s="27" t="s">
        <v>277</v>
      </c>
      <c r="L35" s="28" t="s">
        <v>37</v>
      </c>
      <c r="M35" s="27"/>
      <c r="N35" s="27"/>
      <c r="O35" s="27"/>
    </row>
    <row r="36" customFormat="false" ht="15" hidden="false" customHeight="false" outlineLevel="0" collapsed="false">
      <c r="A36" s="22" t="s">
        <v>278</v>
      </c>
      <c r="B36" s="23" t="s">
        <v>43</v>
      </c>
      <c r="C36" s="23" t="s">
        <v>272</v>
      </c>
      <c r="D36" s="23" t="s">
        <v>279</v>
      </c>
      <c r="E36" s="29" t="s">
        <v>96</v>
      </c>
      <c r="F36" s="23" t="s">
        <v>89</v>
      </c>
      <c r="G36" s="23" t="s">
        <v>274</v>
      </c>
      <c r="H36" s="23" t="s">
        <v>98</v>
      </c>
      <c r="I36" s="23" t="s">
        <v>280</v>
      </c>
      <c r="J36" s="23" t="s">
        <v>281</v>
      </c>
      <c r="K36" s="23" t="s">
        <v>277</v>
      </c>
      <c r="L36" s="25" t="s">
        <v>37</v>
      </c>
      <c r="M36" s="23"/>
      <c r="N36" s="23"/>
      <c r="O36" s="23"/>
    </row>
    <row r="37" customFormat="false" ht="22.35" hidden="false" customHeight="false" outlineLevel="0" collapsed="false">
      <c r="A37" s="26" t="s">
        <v>282</v>
      </c>
      <c r="B37" s="27" t="s">
        <v>43</v>
      </c>
      <c r="C37" s="27" t="s">
        <v>283</v>
      </c>
      <c r="D37" s="27" t="s">
        <v>284</v>
      </c>
      <c r="E37" s="24" t="s">
        <v>80</v>
      </c>
      <c r="F37" s="27" t="s">
        <v>81</v>
      </c>
      <c r="G37" s="27" t="s">
        <v>204</v>
      </c>
      <c r="H37" s="27" t="s">
        <v>98</v>
      </c>
      <c r="I37" s="27" t="s">
        <v>285</v>
      </c>
      <c r="J37" s="27" t="s">
        <v>286</v>
      </c>
      <c r="K37" s="27" t="s">
        <v>287</v>
      </c>
      <c r="L37" s="28" t="s">
        <v>37</v>
      </c>
      <c r="M37" s="27"/>
      <c r="N37" s="27"/>
      <c r="O37" s="27"/>
    </row>
    <row r="38" customFormat="false" ht="15" hidden="false" customHeight="false" outlineLevel="0" collapsed="false">
      <c r="A38" s="22" t="s">
        <v>288</v>
      </c>
      <c r="B38" s="23" t="s">
        <v>43</v>
      </c>
      <c r="C38" s="23" t="s">
        <v>289</v>
      </c>
      <c r="D38" s="23" t="s">
        <v>290</v>
      </c>
      <c r="E38" s="30" t="s">
        <v>123</v>
      </c>
      <c r="F38" s="23" t="s">
        <v>81</v>
      </c>
      <c r="G38" s="23" t="s">
        <v>204</v>
      </c>
      <c r="H38" s="23" t="s">
        <v>98</v>
      </c>
      <c r="I38" s="23" t="s">
        <v>291</v>
      </c>
      <c r="J38" s="23" t="s">
        <v>292</v>
      </c>
      <c r="K38" s="23" t="s">
        <v>287</v>
      </c>
      <c r="L38" s="25" t="s">
        <v>37</v>
      </c>
      <c r="M38" s="23"/>
      <c r="N38" s="23"/>
      <c r="O38" s="23"/>
    </row>
    <row r="39" customFormat="false" ht="22.35" hidden="false" customHeight="false" outlineLevel="0" collapsed="false">
      <c r="A39" s="26" t="s">
        <v>293</v>
      </c>
      <c r="B39" s="27" t="s">
        <v>43</v>
      </c>
      <c r="C39" s="27" t="s">
        <v>260</v>
      </c>
      <c r="D39" s="27" t="s">
        <v>294</v>
      </c>
      <c r="E39" s="29" t="s">
        <v>96</v>
      </c>
      <c r="F39" s="27" t="s">
        <v>81</v>
      </c>
      <c r="G39" s="27" t="s">
        <v>295</v>
      </c>
      <c r="H39" s="27" t="s">
        <v>83</v>
      </c>
      <c r="I39" s="27" t="s">
        <v>296</v>
      </c>
      <c r="J39" s="27" t="s">
        <v>297</v>
      </c>
      <c r="K39" s="27" t="s">
        <v>298</v>
      </c>
      <c r="L39" s="28" t="s">
        <v>37</v>
      </c>
      <c r="M39" s="27"/>
      <c r="N39" s="27"/>
      <c r="O39" s="27"/>
    </row>
    <row r="40" customFormat="false" ht="15" hidden="false" customHeight="false" outlineLevel="0" collapsed="false">
      <c r="A40" s="22" t="s">
        <v>299</v>
      </c>
      <c r="B40" s="23" t="s">
        <v>44</v>
      </c>
      <c r="C40" s="23" t="s">
        <v>300</v>
      </c>
      <c r="D40" s="23" t="s">
        <v>301</v>
      </c>
      <c r="E40" s="24" t="s">
        <v>80</v>
      </c>
      <c r="F40" s="23" t="s">
        <v>81</v>
      </c>
      <c r="G40" s="23" t="s">
        <v>302</v>
      </c>
      <c r="H40" s="23" t="s">
        <v>83</v>
      </c>
      <c r="I40" s="23" t="s">
        <v>303</v>
      </c>
      <c r="J40" s="23" t="s">
        <v>304</v>
      </c>
      <c r="K40" s="23" t="s">
        <v>305</v>
      </c>
      <c r="L40" s="25" t="s">
        <v>37</v>
      </c>
      <c r="M40" s="23"/>
      <c r="N40" s="23"/>
      <c r="O40" s="23"/>
    </row>
    <row r="41" customFormat="false" ht="15" hidden="false" customHeight="false" outlineLevel="0" collapsed="false">
      <c r="A41" s="26" t="s">
        <v>306</v>
      </c>
      <c r="B41" s="27" t="s">
        <v>44</v>
      </c>
      <c r="C41" s="27" t="s">
        <v>307</v>
      </c>
      <c r="D41" s="27" t="s">
        <v>308</v>
      </c>
      <c r="E41" s="29" t="s">
        <v>96</v>
      </c>
      <c r="F41" s="27" t="s">
        <v>81</v>
      </c>
      <c r="G41" s="27" t="s">
        <v>302</v>
      </c>
      <c r="H41" s="27" t="s">
        <v>83</v>
      </c>
      <c r="I41" s="27" t="s">
        <v>309</v>
      </c>
      <c r="J41" s="27" t="s">
        <v>310</v>
      </c>
      <c r="K41" s="27" t="s">
        <v>311</v>
      </c>
      <c r="L41" s="28" t="s">
        <v>37</v>
      </c>
      <c r="M41" s="27"/>
      <c r="N41" s="27"/>
      <c r="O41" s="27"/>
    </row>
    <row r="42" customFormat="false" ht="15" hidden="false" customHeight="false" outlineLevel="0" collapsed="false">
      <c r="A42" s="22" t="s">
        <v>312</v>
      </c>
      <c r="B42" s="23" t="s">
        <v>44</v>
      </c>
      <c r="C42" s="23" t="s">
        <v>307</v>
      </c>
      <c r="D42" s="23" t="s">
        <v>313</v>
      </c>
      <c r="E42" s="29" t="s">
        <v>96</v>
      </c>
      <c r="F42" s="23" t="s">
        <v>81</v>
      </c>
      <c r="G42" s="23" t="s">
        <v>314</v>
      </c>
      <c r="H42" s="23" t="s">
        <v>83</v>
      </c>
      <c r="I42" s="23" t="s">
        <v>315</v>
      </c>
      <c r="J42" s="23" t="s">
        <v>316</v>
      </c>
      <c r="K42" s="23" t="s">
        <v>311</v>
      </c>
      <c r="L42" s="25" t="s">
        <v>37</v>
      </c>
      <c r="M42" s="23"/>
      <c r="N42" s="23"/>
      <c r="O42" s="23"/>
    </row>
    <row r="43" customFormat="false" ht="15" hidden="false" customHeight="false" outlineLevel="0" collapsed="false">
      <c r="A43" s="26" t="s">
        <v>317</v>
      </c>
      <c r="B43" s="27" t="s">
        <v>44</v>
      </c>
      <c r="C43" s="27" t="s">
        <v>318</v>
      </c>
      <c r="D43" s="27" t="s">
        <v>319</v>
      </c>
      <c r="E43" s="29" t="s">
        <v>96</v>
      </c>
      <c r="F43" s="27" t="s">
        <v>81</v>
      </c>
      <c r="G43" s="27" t="s">
        <v>302</v>
      </c>
      <c r="H43" s="27" t="s">
        <v>83</v>
      </c>
      <c r="I43" s="27" t="s">
        <v>320</v>
      </c>
      <c r="J43" s="27" t="s">
        <v>321</v>
      </c>
      <c r="K43" s="27" t="s">
        <v>322</v>
      </c>
      <c r="L43" s="28" t="s">
        <v>37</v>
      </c>
      <c r="M43" s="27"/>
      <c r="N43" s="27"/>
      <c r="O43" s="27"/>
    </row>
    <row r="44" customFormat="false" ht="15" hidden="false" customHeight="false" outlineLevel="0" collapsed="false">
      <c r="A44" s="22" t="s">
        <v>323</v>
      </c>
      <c r="B44" s="23" t="s">
        <v>44</v>
      </c>
      <c r="C44" s="23" t="s">
        <v>324</v>
      </c>
      <c r="D44" s="23" t="s">
        <v>325</v>
      </c>
      <c r="E44" s="30" t="s">
        <v>123</v>
      </c>
      <c r="F44" s="23" t="s">
        <v>81</v>
      </c>
      <c r="G44" s="23" t="s">
        <v>302</v>
      </c>
      <c r="H44" s="23" t="s">
        <v>83</v>
      </c>
      <c r="I44" s="23" t="s">
        <v>326</v>
      </c>
      <c r="J44" s="23" t="s">
        <v>327</v>
      </c>
      <c r="K44" s="23" t="s">
        <v>328</v>
      </c>
      <c r="L44" s="25" t="s">
        <v>37</v>
      </c>
      <c r="M44" s="23"/>
      <c r="N44" s="23"/>
      <c r="O44" s="23"/>
    </row>
    <row r="45" customFormat="false" ht="15" hidden="false" customHeight="false" outlineLevel="0" collapsed="false">
      <c r="A45" s="26" t="s">
        <v>329</v>
      </c>
      <c r="B45" s="27" t="s">
        <v>44</v>
      </c>
      <c r="C45" s="27" t="s">
        <v>330</v>
      </c>
      <c r="D45" s="27" t="s">
        <v>331</v>
      </c>
      <c r="E45" s="30" t="s">
        <v>123</v>
      </c>
      <c r="F45" s="27" t="s">
        <v>81</v>
      </c>
      <c r="G45" s="27" t="s">
        <v>302</v>
      </c>
      <c r="H45" s="27" t="s">
        <v>83</v>
      </c>
      <c r="I45" s="27" t="s">
        <v>326</v>
      </c>
      <c r="J45" s="27" t="s">
        <v>332</v>
      </c>
      <c r="K45" s="27" t="s">
        <v>333</v>
      </c>
      <c r="L45" s="28" t="s">
        <v>37</v>
      </c>
      <c r="M45" s="27"/>
      <c r="N45" s="27"/>
      <c r="O45" s="27"/>
    </row>
    <row r="46" customFormat="false" ht="22.35" hidden="false" customHeight="false" outlineLevel="0" collapsed="false">
      <c r="A46" s="22" t="s">
        <v>334</v>
      </c>
      <c r="B46" s="23" t="s">
        <v>44</v>
      </c>
      <c r="C46" s="23" t="s">
        <v>335</v>
      </c>
      <c r="D46" s="23" t="s">
        <v>336</v>
      </c>
      <c r="E46" s="29" t="s">
        <v>96</v>
      </c>
      <c r="F46" s="23" t="s">
        <v>81</v>
      </c>
      <c r="G46" s="23" t="s">
        <v>302</v>
      </c>
      <c r="H46" s="23" t="s">
        <v>83</v>
      </c>
      <c r="I46" s="23" t="s">
        <v>337</v>
      </c>
      <c r="J46" s="23" t="s">
        <v>338</v>
      </c>
      <c r="K46" s="23" t="s">
        <v>305</v>
      </c>
      <c r="L46" s="25" t="s">
        <v>37</v>
      </c>
      <c r="M46" s="23"/>
      <c r="N46" s="23"/>
      <c r="O46" s="23"/>
    </row>
    <row r="47" customFormat="false" ht="15" hidden="false" customHeight="false" outlineLevel="0" collapsed="false">
      <c r="A47" s="26" t="s">
        <v>339</v>
      </c>
      <c r="B47" s="27" t="s">
        <v>44</v>
      </c>
      <c r="C47" s="27" t="s">
        <v>340</v>
      </c>
      <c r="D47" s="27" t="s">
        <v>341</v>
      </c>
      <c r="E47" s="30" t="s">
        <v>123</v>
      </c>
      <c r="F47" s="27" t="s">
        <v>81</v>
      </c>
      <c r="G47" s="27" t="s">
        <v>302</v>
      </c>
      <c r="H47" s="27" t="s">
        <v>83</v>
      </c>
      <c r="I47" s="27" t="s">
        <v>342</v>
      </c>
      <c r="J47" s="27" t="s">
        <v>343</v>
      </c>
      <c r="K47" s="27" t="s">
        <v>305</v>
      </c>
      <c r="L47" s="28" t="s">
        <v>37</v>
      </c>
      <c r="M47" s="27"/>
      <c r="N47" s="27"/>
      <c r="O47" s="27"/>
    </row>
    <row r="48" customFormat="false" ht="22.35" hidden="false" customHeight="false" outlineLevel="0" collapsed="false">
      <c r="A48" s="22" t="s">
        <v>344</v>
      </c>
      <c r="B48" s="23" t="s">
        <v>44</v>
      </c>
      <c r="C48" s="23" t="s">
        <v>97</v>
      </c>
      <c r="D48" s="23" t="s">
        <v>345</v>
      </c>
      <c r="E48" s="24" t="s">
        <v>80</v>
      </c>
      <c r="F48" s="23" t="s">
        <v>97</v>
      </c>
      <c r="G48" s="23" t="s">
        <v>302</v>
      </c>
      <c r="H48" s="23" t="s">
        <v>83</v>
      </c>
      <c r="I48" s="23" t="s">
        <v>346</v>
      </c>
      <c r="J48" s="23" t="s">
        <v>347</v>
      </c>
      <c r="K48" s="23" t="s">
        <v>348</v>
      </c>
      <c r="L48" s="25" t="s">
        <v>37</v>
      </c>
      <c r="M48" s="23"/>
      <c r="N48" s="23"/>
      <c r="O48" s="23"/>
    </row>
    <row r="49" customFormat="false" ht="22.35" hidden="false" customHeight="false" outlineLevel="0" collapsed="false">
      <c r="A49" s="26" t="s">
        <v>349</v>
      </c>
      <c r="B49" s="27" t="s">
        <v>44</v>
      </c>
      <c r="C49" s="27" t="s">
        <v>124</v>
      </c>
      <c r="D49" s="27" t="s">
        <v>350</v>
      </c>
      <c r="E49" s="29" t="s">
        <v>96</v>
      </c>
      <c r="F49" s="27" t="s">
        <v>81</v>
      </c>
      <c r="G49" s="27" t="s">
        <v>351</v>
      </c>
      <c r="H49" s="27" t="s">
        <v>124</v>
      </c>
      <c r="I49" s="27" t="s">
        <v>352</v>
      </c>
      <c r="J49" s="27" t="s">
        <v>353</v>
      </c>
      <c r="K49" s="27" t="s">
        <v>354</v>
      </c>
      <c r="L49" s="28" t="s">
        <v>37</v>
      </c>
      <c r="M49" s="27"/>
      <c r="N49" s="27"/>
      <c r="O49" s="27"/>
    </row>
    <row r="50" customFormat="false" ht="15" hidden="false" customHeight="false" outlineLevel="0" collapsed="false">
      <c r="A50" s="22" t="s">
        <v>355</v>
      </c>
      <c r="B50" s="23" t="s">
        <v>45</v>
      </c>
      <c r="C50" s="23" t="s">
        <v>356</v>
      </c>
      <c r="D50" s="23" t="s">
        <v>357</v>
      </c>
      <c r="E50" s="24" t="s">
        <v>80</v>
      </c>
      <c r="F50" s="23" t="s">
        <v>81</v>
      </c>
      <c r="G50" s="23" t="s">
        <v>358</v>
      </c>
      <c r="H50" s="23" t="s">
        <v>98</v>
      </c>
      <c r="I50" s="23" t="s">
        <v>359</v>
      </c>
      <c r="J50" s="23" t="s">
        <v>360</v>
      </c>
      <c r="K50" s="23" t="s">
        <v>361</v>
      </c>
      <c r="L50" s="25" t="s">
        <v>37</v>
      </c>
      <c r="M50" s="23"/>
      <c r="N50" s="23"/>
      <c r="O50" s="23"/>
    </row>
    <row r="51" customFormat="false" ht="15" hidden="false" customHeight="false" outlineLevel="0" collapsed="false">
      <c r="A51" s="26" t="s">
        <v>362</v>
      </c>
      <c r="B51" s="27" t="s">
        <v>45</v>
      </c>
      <c r="C51" s="27" t="s">
        <v>363</v>
      </c>
      <c r="D51" s="27" t="s">
        <v>364</v>
      </c>
      <c r="E51" s="29" t="s">
        <v>96</v>
      </c>
      <c r="F51" s="27" t="s">
        <v>81</v>
      </c>
      <c r="G51" s="27" t="s">
        <v>358</v>
      </c>
      <c r="H51" s="27" t="s">
        <v>98</v>
      </c>
      <c r="I51" s="27" t="s">
        <v>365</v>
      </c>
      <c r="J51" s="27" t="s">
        <v>366</v>
      </c>
      <c r="K51" s="27" t="s">
        <v>361</v>
      </c>
      <c r="L51" s="28" t="s">
        <v>37</v>
      </c>
      <c r="M51" s="27"/>
      <c r="N51" s="27"/>
      <c r="O51" s="27"/>
    </row>
    <row r="52" customFormat="false" ht="15" hidden="false" customHeight="false" outlineLevel="0" collapsed="false">
      <c r="A52" s="22" t="s">
        <v>367</v>
      </c>
      <c r="B52" s="23" t="s">
        <v>45</v>
      </c>
      <c r="C52" s="23" t="s">
        <v>368</v>
      </c>
      <c r="D52" s="23" t="s">
        <v>369</v>
      </c>
      <c r="E52" s="30" t="s">
        <v>123</v>
      </c>
      <c r="F52" s="23" t="s">
        <v>81</v>
      </c>
      <c r="G52" s="23" t="s">
        <v>358</v>
      </c>
      <c r="H52" s="23" t="s">
        <v>83</v>
      </c>
      <c r="I52" s="23" t="s">
        <v>370</v>
      </c>
      <c r="J52" s="23" t="s">
        <v>371</v>
      </c>
      <c r="K52" s="23" t="s">
        <v>361</v>
      </c>
      <c r="L52" s="25" t="s">
        <v>37</v>
      </c>
      <c r="M52" s="23"/>
      <c r="N52" s="23"/>
      <c r="O52" s="23"/>
    </row>
    <row r="53" customFormat="false" ht="15" hidden="false" customHeight="false" outlineLevel="0" collapsed="false">
      <c r="A53" s="26" t="s">
        <v>372</v>
      </c>
      <c r="B53" s="27" t="s">
        <v>45</v>
      </c>
      <c r="C53" s="27" t="s">
        <v>373</v>
      </c>
      <c r="D53" s="27" t="s">
        <v>374</v>
      </c>
      <c r="E53" s="29" t="s">
        <v>96</v>
      </c>
      <c r="F53" s="27" t="s">
        <v>97</v>
      </c>
      <c r="G53" s="27" t="s">
        <v>375</v>
      </c>
      <c r="H53" s="27" t="s">
        <v>98</v>
      </c>
      <c r="I53" s="27" t="s">
        <v>376</v>
      </c>
      <c r="J53" s="27" t="s">
        <v>377</v>
      </c>
      <c r="K53" s="27" t="s">
        <v>378</v>
      </c>
      <c r="L53" s="28" t="s">
        <v>37</v>
      </c>
      <c r="M53" s="27"/>
      <c r="N53" s="27"/>
      <c r="O53" s="27"/>
    </row>
    <row r="54" customFormat="false" ht="22.35" hidden="false" customHeight="false" outlineLevel="0" collapsed="false">
      <c r="A54" s="22" t="s">
        <v>379</v>
      </c>
      <c r="B54" s="23" t="s">
        <v>45</v>
      </c>
      <c r="C54" s="23" t="s">
        <v>380</v>
      </c>
      <c r="D54" s="23" t="s">
        <v>381</v>
      </c>
      <c r="E54" s="30" t="s">
        <v>123</v>
      </c>
      <c r="F54" s="23" t="s">
        <v>382</v>
      </c>
      <c r="G54" s="23" t="s">
        <v>358</v>
      </c>
      <c r="H54" s="23" t="s">
        <v>98</v>
      </c>
      <c r="I54" s="23" t="s">
        <v>383</v>
      </c>
      <c r="J54" s="23" t="s">
        <v>384</v>
      </c>
      <c r="K54" s="23" t="s">
        <v>361</v>
      </c>
      <c r="L54" s="25" t="s">
        <v>37</v>
      </c>
      <c r="M54" s="23"/>
      <c r="N54" s="23"/>
      <c r="O54" s="23"/>
    </row>
    <row r="55" customFormat="false" ht="15" hidden="false" customHeight="false" outlineLevel="0" collapsed="false">
      <c r="A55" s="26" t="s">
        <v>385</v>
      </c>
      <c r="B55" s="27" t="s">
        <v>46</v>
      </c>
      <c r="C55" s="27" t="s">
        <v>386</v>
      </c>
      <c r="D55" s="27" t="s">
        <v>387</v>
      </c>
      <c r="E55" s="29" t="s">
        <v>96</v>
      </c>
      <c r="F55" s="27" t="s">
        <v>81</v>
      </c>
      <c r="G55" s="27" t="s">
        <v>146</v>
      </c>
      <c r="H55" s="27" t="s">
        <v>98</v>
      </c>
      <c r="I55" s="27" t="s">
        <v>388</v>
      </c>
      <c r="J55" s="27" t="s">
        <v>389</v>
      </c>
      <c r="K55" s="27" t="s">
        <v>390</v>
      </c>
      <c r="L55" s="28" t="s">
        <v>37</v>
      </c>
      <c r="M55" s="27"/>
      <c r="N55" s="27"/>
      <c r="O55" s="27"/>
    </row>
    <row r="56" customFormat="false" ht="15" hidden="false" customHeight="false" outlineLevel="0" collapsed="false">
      <c r="A56" s="22" t="s">
        <v>391</v>
      </c>
      <c r="B56" s="23" t="s">
        <v>46</v>
      </c>
      <c r="C56" s="23" t="s">
        <v>392</v>
      </c>
      <c r="D56" s="23" t="s">
        <v>393</v>
      </c>
      <c r="E56" s="24" t="s">
        <v>80</v>
      </c>
      <c r="F56" s="23" t="s">
        <v>382</v>
      </c>
      <c r="G56" s="23" t="s">
        <v>146</v>
      </c>
      <c r="H56" s="23" t="s">
        <v>98</v>
      </c>
      <c r="I56" s="23" t="s">
        <v>394</v>
      </c>
      <c r="J56" s="23" t="s">
        <v>395</v>
      </c>
      <c r="K56" s="23" t="s">
        <v>396</v>
      </c>
      <c r="L56" s="25" t="s">
        <v>37</v>
      </c>
      <c r="M56" s="23"/>
      <c r="N56" s="23"/>
      <c r="O56" s="23"/>
    </row>
    <row r="57" customFormat="false" ht="15" hidden="false" customHeight="false" outlineLevel="0" collapsed="false">
      <c r="A57" s="26" t="s">
        <v>397</v>
      </c>
      <c r="B57" s="27" t="s">
        <v>46</v>
      </c>
      <c r="C57" s="27" t="s">
        <v>398</v>
      </c>
      <c r="D57" s="27" t="s">
        <v>399</v>
      </c>
      <c r="E57" s="29" t="s">
        <v>96</v>
      </c>
      <c r="F57" s="27" t="s">
        <v>81</v>
      </c>
      <c r="G57" s="27" t="s">
        <v>146</v>
      </c>
      <c r="H57" s="27" t="s">
        <v>98</v>
      </c>
      <c r="I57" s="27" t="s">
        <v>400</v>
      </c>
      <c r="J57" s="27" t="s">
        <v>401</v>
      </c>
      <c r="K57" s="27" t="s">
        <v>402</v>
      </c>
      <c r="L57" s="28" t="s">
        <v>37</v>
      </c>
      <c r="M57" s="27"/>
      <c r="N57" s="27"/>
      <c r="O57" s="27"/>
    </row>
    <row r="58" customFormat="false" ht="15" hidden="false" customHeight="false" outlineLevel="0" collapsed="false">
      <c r="A58" s="22" t="s">
        <v>403</v>
      </c>
      <c r="B58" s="23" t="s">
        <v>46</v>
      </c>
      <c r="C58" s="23" t="s">
        <v>404</v>
      </c>
      <c r="D58" s="23" t="s">
        <v>405</v>
      </c>
      <c r="E58" s="30" t="s">
        <v>123</v>
      </c>
      <c r="F58" s="23" t="s">
        <v>81</v>
      </c>
      <c r="G58" s="23" t="s">
        <v>146</v>
      </c>
      <c r="H58" s="23" t="s">
        <v>98</v>
      </c>
      <c r="I58" s="23" t="s">
        <v>388</v>
      </c>
      <c r="J58" s="23" t="s">
        <v>406</v>
      </c>
      <c r="K58" s="23" t="s">
        <v>407</v>
      </c>
      <c r="L58" s="25" t="s">
        <v>37</v>
      </c>
      <c r="M58" s="23"/>
      <c r="N58" s="23"/>
      <c r="O58" s="23"/>
    </row>
    <row r="59" customFormat="false" ht="15" hidden="false" customHeight="false" outlineLevel="0" collapsed="false">
      <c r="A59" s="26" t="s">
        <v>408</v>
      </c>
      <c r="B59" s="27" t="s">
        <v>46</v>
      </c>
      <c r="C59" s="27" t="s">
        <v>409</v>
      </c>
      <c r="D59" s="27" t="s">
        <v>410</v>
      </c>
      <c r="E59" s="30" t="s">
        <v>123</v>
      </c>
      <c r="F59" s="27" t="s">
        <v>81</v>
      </c>
      <c r="G59" s="27" t="s">
        <v>146</v>
      </c>
      <c r="H59" s="27" t="s">
        <v>98</v>
      </c>
      <c r="I59" s="27" t="s">
        <v>388</v>
      </c>
      <c r="J59" s="27" t="s">
        <v>411</v>
      </c>
      <c r="K59" s="27" t="s">
        <v>412</v>
      </c>
      <c r="L59" s="28" t="s">
        <v>37</v>
      </c>
      <c r="M59" s="27"/>
      <c r="N59" s="27"/>
      <c r="O59" s="27"/>
    </row>
    <row r="60" customFormat="false" ht="15" hidden="false" customHeight="false" outlineLevel="0" collapsed="false">
      <c r="A60" s="22" t="s">
        <v>413</v>
      </c>
      <c r="B60" s="23" t="s">
        <v>47</v>
      </c>
      <c r="C60" s="23" t="s">
        <v>386</v>
      </c>
      <c r="D60" s="23" t="s">
        <v>414</v>
      </c>
      <c r="E60" s="29" t="s">
        <v>96</v>
      </c>
      <c r="F60" s="23" t="s">
        <v>81</v>
      </c>
      <c r="G60" s="23" t="s">
        <v>415</v>
      </c>
      <c r="H60" s="23" t="s">
        <v>83</v>
      </c>
      <c r="I60" s="23" t="s">
        <v>416</v>
      </c>
      <c r="J60" s="23" t="s">
        <v>417</v>
      </c>
      <c r="K60" s="23" t="s">
        <v>418</v>
      </c>
      <c r="L60" s="25" t="s">
        <v>37</v>
      </c>
      <c r="M60" s="23"/>
      <c r="N60" s="23"/>
      <c r="O60" s="23"/>
    </row>
    <row r="61" customFormat="false" ht="15" hidden="false" customHeight="false" outlineLevel="0" collapsed="false">
      <c r="A61" s="26" t="s">
        <v>419</v>
      </c>
      <c r="B61" s="27" t="s">
        <v>47</v>
      </c>
      <c r="C61" s="27" t="s">
        <v>420</v>
      </c>
      <c r="D61" s="27" t="s">
        <v>421</v>
      </c>
      <c r="E61" s="29" t="s">
        <v>96</v>
      </c>
      <c r="F61" s="27" t="s">
        <v>81</v>
      </c>
      <c r="G61" s="27" t="s">
        <v>415</v>
      </c>
      <c r="H61" s="27" t="s">
        <v>83</v>
      </c>
      <c r="I61" s="27" t="s">
        <v>422</v>
      </c>
      <c r="J61" s="27" t="s">
        <v>423</v>
      </c>
      <c r="K61" s="27" t="s">
        <v>424</v>
      </c>
      <c r="L61" s="28" t="s">
        <v>37</v>
      </c>
      <c r="M61" s="27"/>
      <c r="N61" s="27"/>
      <c r="O61" s="27"/>
    </row>
    <row r="62" customFormat="false" ht="15" hidden="false" customHeight="false" outlineLevel="0" collapsed="false">
      <c r="A62" s="22" t="s">
        <v>425</v>
      </c>
      <c r="B62" s="23" t="s">
        <v>47</v>
      </c>
      <c r="C62" s="23" t="s">
        <v>426</v>
      </c>
      <c r="D62" s="23" t="s">
        <v>427</v>
      </c>
      <c r="E62" s="29" t="s">
        <v>96</v>
      </c>
      <c r="F62" s="23" t="s">
        <v>81</v>
      </c>
      <c r="G62" s="23" t="s">
        <v>415</v>
      </c>
      <c r="H62" s="23" t="s">
        <v>98</v>
      </c>
      <c r="I62" s="23" t="s">
        <v>428</v>
      </c>
      <c r="J62" s="23" t="s">
        <v>429</v>
      </c>
      <c r="K62" s="23" t="s">
        <v>430</v>
      </c>
      <c r="L62" s="25" t="s">
        <v>37</v>
      </c>
      <c r="M62" s="23"/>
      <c r="N62" s="23"/>
      <c r="O62" s="23"/>
    </row>
    <row r="63" customFormat="false" ht="15" hidden="false" customHeight="false" outlineLevel="0" collapsed="false">
      <c r="A63" s="26" t="s">
        <v>431</v>
      </c>
      <c r="B63" s="27" t="s">
        <v>47</v>
      </c>
      <c r="C63" s="27" t="s">
        <v>432</v>
      </c>
      <c r="D63" s="27" t="s">
        <v>433</v>
      </c>
      <c r="E63" s="30" t="s">
        <v>123</v>
      </c>
      <c r="F63" s="27" t="s">
        <v>81</v>
      </c>
      <c r="G63" s="27" t="s">
        <v>415</v>
      </c>
      <c r="H63" s="27" t="s">
        <v>83</v>
      </c>
      <c r="I63" s="27" t="s">
        <v>434</v>
      </c>
      <c r="J63" s="27" t="s">
        <v>435</v>
      </c>
      <c r="K63" s="27" t="s">
        <v>436</v>
      </c>
      <c r="L63" s="28" t="s">
        <v>37</v>
      </c>
      <c r="M63" s="27"/>
      <c r="N63" s="27"/>
      <c r="O63" s="27"/>
    </row>
    <row r="64" customFormat="false" ht="15" hidden="false" customHeight="false" outlineLevel="0" collapsed="false">
      <c r="A64" s="22" t="s">
        <v>437</v>
      </c>
      <c r="B64" s="23" t="s">
        <v>48</v>
      </c>
      <c r="C64" s="23" t="s">
        <v>386</v>
      </c>
      <c r="D64" s="23" t="s">
        <v>438</v>
      </c>
      <c r="E64" s="29" t="s">
        <v>96</v>
      </c>
      <c r="F64" s="23" t="s">
        <v>81</v>
      </c>
      <c r="G64" s="23" t="s">
        <v>439</v>
      </c>
      <c r="H64" s="23" t="s">
        <v>83</v>
      </c>
      <c r="I64" s="23" t="s">
        <v>440</v>
      </c>
      <c r="J64" s="23" t="s">
        <v>441</v>
      </c>
      <c r="K64" s="23" t="s">
        <v>442</v>
      </c>
      <c r="L64" s="25" t="s">
        <v>37</v>
      </c>
      <c r="M64" s="23"/>
      <c r="N64" s="23"/>
      <c r="O64" s="23"/>
    </row>
    <row r="65" customFormat="false" ht="15" hidden="false" customHeight="false" outlineLevel="0" collapsed="false">
      <c r="A65" s="26" t="s">
        <v>443</v>
      </c>
      <c r="B65" s="27" t="s">
        <v>48</v>
      </c>
      <c r="C65" s="27" t="s">
        <v>444</v>
      </c>
      <c r="D65" s="27" t="s">
        <v>445</v>
      </c>
      <c r="E65" s="29" t="s">
        <v>96</v>
      </c>
      <c r="F65" s="27" t="s">
        <v>81</v>
      </c>
      <c r="G65" s="27" t="s">
        <v>439</v>
      </c>
      <c r="H65" s="27" t="s">
        <v>83</v>
      </c>
      <c r="I65" s="27" t="s">
        <v>446</v>
      </c>
      <c r="J65" s="27" t="s">
        <v>447</v>
      </c>
      <c r="K65" s="27" t="s">
        <v>448</v>
      </c>
      <c r="L65" s="28" t="s">
        <v>37</v>
      </c>
      <c r="M65" s="27"/>
      <c r="N65" s="27"/>
      <c r="O65" s="27"/>
    </row>
    <row r="66" customFormat="false" ht="32.8" hidden="false" customHeight="false" outlineLevel="0" collapsed="false">
      <c r="A66" s="22" t="s">
        <v>449</v>
      </c>
      <c r="B66" s="23" t="s">
        <v>48</v>
      </c>
      <c r="C66" s="23" t="s">
        <v>450</v>
      </c>
      <c r="D66" s="23" t="s">
        <v>451</v>
      </c>
      <c r="E66" s="29" t="s">
        <v>96</v>
      </c>
      <c r="F66" s="23" t="s">
        <v>81</v>
      </c>
      <c r="G66" s="23" t="s">
        <v>439</v>
      </c>
      <c r="H66" s="23" t="s">
        <v>83</v>
      </c>
      <c r="I66" s="23" t="s">
        <v>452</v>
      </c>
      <c r="J66" s="23" t="s">
        <v>453</v>
      </c>
      <c r="K66" s="23" t="s">
        <v>454</v>
      </c>
      <c r="L66" s="25" t="s">
        <v>37</v>
      </c>
      <c r="M66" s="23"/>
      <c r="N66" s="23"/>
      <c r="O66" s="23"/>
    </row>
    <row r="67" customFormat="false" ht="15" hidden="false" customHeight="false" outlineLevel="0" collapsed="false">
      <c r="A67" s="26" t="s">
        <v>455</v>
      </c>
      <c r="B67" s="27" t="s">
        <v>48</v>
      </c>
      <c r="C67" s="27" t="s">
        <v>456</v>
      </c>
      <c r="D67" s="27" t="s">
        <v>457</v>
      </c>
      <c r="E67" s="29" t="s">
        <v>96</v>
      </c>
      <c r="F67" s="27" t="s">
        <v>97</v>
      </c>
      <c r="G67" s="27" t="s">
        <v>439</v>
      </c>
      <c r="H67" s="27" t="s">
        <v>83</v>
      </c>
      <c r="I67" s="27" t="s">
        <v>458</v>
      </c>
      <c r="J67" s="27" t="s">
        <v>459</v>
      </c>
      <c r="K67" s="27" t="s">
        <v>460</v>
      </c>
      <c r="L67" s="28" t="s">
        <v>37</v>
      </c>
      <c r="M67" s="27"/>
      <c r="N67" s="27"/>
      <c r="O67" s="27"/>
    </row>
    <row r="68" customFormat="false" ht="15" hidden="false" customHeight="false" outlineLevel="0" collapsed="false">
      <c r="A68" s="22" t="s">
        <v>461</v>
      </c>
      <c r="B68" s="23" t="s">
        <v>48</v>
      </c>
      <c r="C68" s="23" t="s">
        <v>462</v>
      </c>
      <c r="D68" s="23" t="s">
        <v>463</v>
      </c>
      <c r="E68" s="30" t="s">
        <v>123</v>
      </c>
      <c r="F68" s="23" t="s">
        <v>81</v>
      </c>
      <c r="G68" s="23" t="s">
        <v>439</v>
      </c>
      <c r="H68" s="23" t="s">
        <v>83</v>
      </c>
      <c r="I68" s="23" t="s">
        <v>464</v>
      </c>
      <c r="J68" s="23" t="s">
        <v>465</v>
      </c>
      <c r="K68" s="23" t="s">
        <v>466</v>
      </c>
      <c r="L68" s="25" t="s">
        <v>37</v>
      </c>
      <c r="M68" s="23"/>
      <c r="N68" s="23"/>
      <c r="O68" s="23"/>
    </row>
    <row r="69" customFormat="false" ht="15" hidden="false" customHeight="false" outlineLevel="0" collapsed="false">
      <c r="A69" s="26" t="s">
        <v>467</v>
      </c>
      <c r="B69" s="27" t="s">
        <v>49</v>
      </c>
      <c r="C69" s="27" t="s">
        <v>468</v>
      </c>
      <c r="D69" s="27" t="s">
        <v>469</v>
      </c>
      <c r="E69" s="29" t="s">
        <v>96</v>
      </c>
      <c r="F69" s="27" t="s">
        <v>81</v>
      </c>
      <c r="G69" s="27" t="s">
        <v>470</v>
      </c>
      <c r="H69" s="27" t="s">
        <v>98</v>
      </c>
      <c r="I69" s="27" t="s">
        <v>471</v>
      </c>
      <c r="J69" s="27" t="s">
        <v>472</v>
      </c>
      <c r="K69" s="27" t="s">
        <v>473</v>
      </c>
      <c r="L69" s="28" t="s">
        <v>37</v>
      </c>
      <c r="M69" s="27"/>
      <c r="N69" s="27"/>
      <c r="O69" s="27"/>
    </row>
    <row r="70" customFormat="false" ht="15" hidden="false" customHeight="false" outlineLevel="0" collapsed="false">
      <c r="A70" s="22" t="s">
        <v>474</v>
      </c>
      <c r="B70" s="23" t="s">
        <v>49</v>
      </c>
      <c r="C70" s="23" t="s">
        <v>475</v>
      </c>
      <c r="D70" s="23" t="s">
        <v>476</v>
      </c>
      <c r="E70" s="24" t="s">
        <v>80</v>
      </c>
      <c r="F70" s="23" t="s">
        <v>81</v>
      </c>
      <c r="G70" s="23" t="s">
        <v>470</v>
      </c>
      <c r="H70" s="23" t="s">
        <v>98</v>
      </c>
      <c r="I70" s="23" t="s">
        <v>477</v>
      </c>
      <c r="J70" s="23" t="s">
        <v>478</v>
      </c>
      <c r="K70" s="23" t="s">
        <v>479</v>
      </c>
      <c r="L70" s="25" t="s">
        <v>37</v>
      </c>
      <c r="M70" s="23"/>
      <c r="N70" s="23"/>
      <c r="O70" s="23"/>
    </row>
    <row r="71" customFormat="false" ht="15" hidden="false" customHeight="false" outlineLevel="0" collapsed="false">
      <c r="A71" s="26" t="s">
        <v>480</v>
      </c>
      <c r="B71" s="27" t="s">
        <v>49</v>
      </c>
      <c r="C71" s="27" t="s">
        <v>481</v>
      </c>
      <c r="D71" s="27" t="s">
        <v>482</v>
      </c>
      <c r="E71" s="29" t="s">
        <v>96</v>
      </c>
      <c r="F71" s="27" t="s">
        <v>81</v>
      </c>
      <c r="G71" s="27" t="s">
        <v>470</v>
      </c>
      <c r="H71" s="27" t="s">
        <v>98</v>
      </c>
      <c r="I71" s="27" t="s">
        <v>483</v>
      </c>
      <c r="J71" s="27" t="s">
        <v>484</v>
      </c>
      <c r="K71" s="27" t="s">
        <v>485</v>
      </c>
      <c r="L71" s="28" t="s">
        <v>37</v>
      </c>
      <c r="M71" s="27"/>
      <c r="N71" s="27"/>
      <c r="O71" s="27"/>
    </row>
    <row r="72" customFormat="false" ht="15" hidden="false" customHeight="false" outlineLevel="0" collapsed="false">
      <c r="A72" s="22" t="s">
        <v>486</v>
      </c>
      <c r="B72" s="23" t="s">
        <v>49</v>
      </c>
      <c r="C72" s="23" t="s">
        <v>382</v>
      </c>
      <c r="D72" s="23" t="s">
        <v>487</v>
      </c>
      <c r="E72" s="24" t="s">
        <v>80</v>
      </c>
      <c r="F72" s="23" t="s">
        <v>382</v>
      </c>
      <c r="G72" s="23" t="s">
        <v>488</v>
      </c>
      <c r="H72" s="23" t="s">
        <v>98</v>
      </c>
      <c r="I72" s="23" t="s">
        <v>489</v>
      </c>
      <c r="J72" s="23" t="s">
        <v>490</v>
      </c>
      <c r="K72" s="23" t="s">
        <v>491</v>
      </c>
      <c r="L72" s="25" t="s">
        <v>37</v>
      </c>
      <c r="M72" s="23"/>
      <c r="N72" s="23"/>
      <c r="O72" s="23"/>
    </row>
    <row r="73" customFormat="false" ht="22.35" hidden="false" customHeight="false" outlineLevel="0" collapsed="false">
      <c r="A73" s="26" t="s">
        <v>492</v>
      </c>
      <c r="B73" s="27" t="s">
        <v>50</v>
      </c>
      <c r="C73" s="27" t="s">
        <v>493</v>
      </c>
      <c r="D73" s="27" t="s">
        <v>494</v>
      </c>
      <c r="E73" s="24" t="s">
        <v>80</v>
      </c>
      <c r="F73" s="27" t="s">
        <v>382</v>
      </c>
      <c r="G73" s="27" t="s">
        <v>495</v>
      </c>
      <c r="H73" s="27" t="s">
        <v>124</v>
      </c>
      <c r="I73" s="27" t="s">
        <v>496</v>
      </c>
      <c r="J73" s="27" t="s">
        <v>497</v>
      </c>
      <c r="K73" s="27" t="s">
        <v>498</v>
      </c>
      <c r="L73" s="28" t="s">
        <v>37</v>
      </c>
      <c r="M73" s="27"/>
      <c r="N73" s="27"/>
      <c r="O73" s="27"/>
    </row>
    <row r="74" customFormat="false" ht="15" hidden="false" customHeight="false" outlineLevel="0" collapsed="false">
      <c r="A74" s="22" t="s">
        <v>499</v>
      </c>
      <c r="B74" s="23" t="s">
        <v>50</v>
      </c>
      <c r="C74" s="23" t="s">
        <v>500</v>
      </c>
      <c r="D74" s="23" t="s">
        <v>501</v>
      </c>
      <c r="E74" s="24" t="s">
        <v>80</v>
      </c>
      <c r="F74" s="23" t="s">
        <v>81</v>
      </c>
      <c r="G74" s="23" t="s">
        <v>470</v>
      </c>
      <c r="H74" s="23" t="s">
        <v>124</v>
      </c>
      <c r="I74" s="23" t="s">
        <v>502</v>
      </c>
      <c r="J74" s="23" t="s">
        <v>503</v>
      </c>
      <c r="K74" s="23" t="s">
        <v>504</v>
      </c>
      <c r="L74" s="25" t="s">
        <v>37</v>
      </c>
      <c r="M74" s="23"/>
      <c r="N74" s="23"/>
      <c r="O74" s="23"/>
    </row>
    <row r="75" customFormat="false" ht="15" hidden="false" customHeight="false" outlineLevel="0" collapsed="false">
      <c r="A75" s="26" t="s">
        <v>505</v>
      </c>
      <c r="B75" s="27" t="s">
        <v>50</v>
      </c>
      <c r="C75" s="27" t="s">
        <v>468</v>
      </c>
      <c r="D75" s="27" t="s">
        <v>506</v>
      </c>
      <c r="E75" s="29" t="s">
        <v>96</v>
      </c>
      <c r="F75" s="27" t="s">
        <v>81</v>
      </c>
      <c r="G75" s="27" t="s">
        <v>470</v>
      </c>
      <c r="H75" s="27" t="s">
        <v>124</v>
      </c>
      <c r="I75" s="27" t="s">
        <v>507</v>
      </c>
      <c r="J75" s="27" t="s">
        <v>508</v>
      </c>
      <c r="K75" s="27" t="s">
        <v>504</v>
      </c>
      <c r="L75" s="28" t="s">
        <v>37</v>
      </c>
      <c r="M75" s="27"/>
      <c r="N75" s="27"/>
      <c r="O75" s="27"/>
    </row>
    <row r="76" customFormat="false" ht="15" hidden="false" customHeight="false" outlineLevel="0" collapsed="false">
      <c r="A76" s="22" t="s">
        <v>509</v>
      </c>
      <c r="B76" s="23" t="s">
        <v>50</v>
      </c>
      <c r="C76" s="23" t="s">
        <v>475</v>
      </c>
      <c r="D76" s="23" t="s">
        <v>510</v>
      </c>
      <c r="E76" s="29" t="s">
        <v>96</v>
      </c>
      <c r="F76" s="23" t="s">
        <v>81</v>
      </c>
      <c r="G76" s="23" t="s">
        <v>470</v>
      </c>
      <c r="H76" s="23" t="s">
        <v>124</v>
      </c>
      <c r="I76" s="23" t="s">
        <v>477</v>
      </c>
      <c r="J76" s="23" t="s">
        <v>511</v>
      </c>
      <c r="K76" s="23" t="s">
        <v>479</v>
      </c>
      <c r="L76" s="25" t="s">
        <v>37</v>
      </c>
      <c r="M76" s="23"/>
      <c r="N76" s="23"/>
      <c r="O76" s="23"/>
    </row>
    <row r="77" customFormat="false" ht="15" hidden="false" customHeight="false" outlineLevel="0" collapsed="false">
      <c r="A77" s="26" t="s">
        <v>512</v>
      </c>
      <c r="B77" s="27" t="s">
        <v>50</v>
      </c>
      <c r="C77" s="27" t="s">
        <v>513</v>
      </c>
      <c r="D77" s="27" t="s">
        <v>514</v>
      </c>
      <c r="E77" s="30" t="s">
        <v>123</v>
      </c>
      <c r="F77" s="27" t="s">
        <v>81</v>
      </c>
      <c r="G77" s="27" t="s">
        <v>470</v>
      </c>
      <c r="H77" s="27" t="s">
        <v>124</v>
      </c>
      <c r="I77" s="27" t="s">
        <v>515</v>
      </c>
      <c r="J77" s="27" t="s">
        <v>516</v>
      </c>
      <c r="K77" s="27" t="s">
        <v>504</v>
      </c>
      <c r="L77" s="28" t="s">
        <v>37</v>
      </c>
      <c r="M77" s="27"/>
      <c r="N77" s="27"/>
      <c r="O77" s="27"/>
    </row>
    <row r="78" customFormat="false" ht="15" hidden="false" customHeight="false" outlineLevel="0" collapsed="false">
      <c r="A78" s="22" t="s">
        <v>517</v>
      </c>
      <c r="B78" s="23" t="s">
        <v>50</v>
      </c>
      <c r="C78" s="23" t="s">
        <v>518</v>
      </c>
      <c r="D78" s="23" t="s">
        <v>519</v>
      </c>
      <c r="E78" s="30" t="s">
        <v>123</v>
      </c>
      <c r="F78" s="23" t="s">
        <v>81</v>
      </c>
      <c r="G78" s="23" t="s">
        <v>470</v>
      </c>
      <c r="H78" s="23" t="s">
        <v>124</v>
      </c>
      <c r="I78" s="23" t="s">
        <v>520</v>
      </c>
      <c r="J78" s="23" t="s">
        <v>521</v>
      </c>
      <c r="K78" s="23" t="s">
        <v>504</v>
      </c>
      <c r="L78" s="25" t="s">
        <v>37</v>
      </c>
      <c r="M78" s="23"/>
      <c r="N78" s="23"/>
      <c r="O78" s="23"/>
    </row>
    <row r="79" customFormat="false" ht="22.35" hidden="false" customHeight="false" outlineLevel="0" collapsed="false">
      <c r="A79" s="26" t="s">
        <v>522</v>
      </c>
      <c r="B79" s="27" t="s">
        <v>50</v>
      </c>
      <c r="C79" s="27" t="s">
        <v>523</v>
      </c>
      <c r="D79" s="27" t="s">
        <v>524</v>
      </c>
      <c r="E79" s="30" t="s">
        <v>123</v>
      </c>
      <c r="F79" s="27" t="s">
        <v>81</v>
      </c>
      <c r="G79" s="27" t="s">
        <v>470</v>
      </c>
      <c r="H79" s="27" t="s">
        <v>124</v>
      </c>
      <c r="I79" s="27" t="s">
        <v>477</v>
      </c>
      <c r="J79" s="27" t="s">
        <v>525</v>
      </c>
      <c r="K79" s="27" t="s">
        <v>526</v>
      </c>
      <c r="L79" s="28" t="s">
        <v>37</v>
      </c>
      <c r="M79" s="27"/>
      <c r="N79" s="27"/>
      <c r="O79" s="27"/>
    </row>
    <row r="80" customFormat="false" ht="15" hidden="false" customHeight="false" outlineLevel="0" collapsed="false">
      <c r="A80" s="22" t="s">
        <v>527</v>
      </c>
      <c r="B80" s="23" t="s">
        <v>51</v>
      </c>
      <c r="C80" s="23" t="s">
        <v>386</v>
      </c>
      <c r="D80" s="23" t="s">
        <v>528</v>
      </c>
      <c r="E80" s="29" t="s">
        <v>96</v>
      </c>
      <c r="F80" s="23" t="s">
        <v>81</v>
      </c>
      <c r="G80" s="23" t="s">
        <v>529</v>
      </c>
      <c r="H80" s="23" t="s">
        <v>98</v>
      </c>
      <c r="I80" s="23" t="s">
        <v>530</v>
      </c>
      <c r="J80" s="23" t="s">
        <v>531</v>
      </c>
      <c r="K80" s="23" t="s">
        <v>532</v>
      </c>
      <c r="L80" s="25" t="s">
        <v>37</v>
      </c>
      <c r="M80" s="23"/>
      <c r="N80" s="23"/>
      <c r="O80" s="23"/>
    </row>
    <row r="81" customFormat="false" ht="15" hidden="false" customHeight="false" outlineLevel="0" collapsed="false">
      <c r="A81" s="26" t="s">
        <v>533</v>
      </c>
      <c r="B81" s="27" t="s">
        <v>51</v>
      </c>
      <c r="C81" s="27" t="s">
        <v>534</v>
      </c>
      <c r="D81" s="27" t="s">
        <v>535</v>
      </c>
      <c r="E81" s="29" t="s">
        <v>96</v>
      </c>
      <c r="F81" s="27" t="s">
        <v>81</v>
      </c>
      <c r="G81" s="27" t="s">
        <v>529</v>
      </c>
      <c r="H81" s="27" t="s">
        <v>98</v>
      </c>
      <c r="I81" s="27" t="s">
        <v>536</v>
      </c>
      <c r="J81" s="27" t="s">
        <v>537</v>
      </c>
      <c r="K81" s="27" t="s">
        <v>532</v>
      </c>
      <c r="L81" s="28" t="s">
        <v>37</v>
      </c>
      <c r="M81" s="27"/>
      <c r="N81" s="27"/>
      <c r="O81" s="27"/>
    </row>
    <row r="82" customFormat="false" ht="22.35" hidden="false" customHeight="false" outlineLevel="0" collapsed="false">
      <c r="A82" s="22" t="s">
        <v>538</v>
      </c>
      <c r="B82" s="23" t="s">
        <v>51</v>
      </c>
      <c r="C82" s="23" t="s">
        <v>539</v>
      </c>
      <c r="D82" s="23" t="s">
        <v>540</v>
      </c>
      <c r="E82" s="29" t="s">
        <v>96</v>
      </c>
      <c r="F82" s="23" t="s">
        <v>81</v>
      </c>
      <c r="G82" s="23" t="s">
        <v>529</v>
      </c>
      <c r="H82" s="23" t="s">
        <v>98</v>
      </c>
      <c r="I82" s="23" t="s">
        <v>541</v>
      </c>
      <c r="J82" s="23" t="s">
        <v>542</v>
      </c>
      <c r="K82" s="23" t="s">
        <v>543</v>
      </c>
      <c r="L82" s="25" t="s">
        <v>37</v>
      </c>
      <c r="M82" s="23"/>
      <c r="N82" s="23"/>
      <c r="O82" s="23"/>
    </row>
    <row r="83" customFormat="false" ht="22.35" hidden="false" customHeight="false" outlineLevel="0" collapsed="false">
      <c r="A83" s="26" t="s">
        <v>544</v>
      </c>
      <c r="B83" s="27" t="s">
        <v>51</v>
      </c>
      <c r="C83" s="27" t="s">
        <v>545</v>
      </c>
      <c r="D83" s="27" t="s">
        <v>546</v>
      </c>
      <c r="E83" s="29" t="s">
        <v>96</v>
      </c>
      <c r="F83" s="27" t="s">
        <v>81</v>
      </c>
      <c r="G83" s="27" t="s">
        <v>529</v>
      </c>
      <c r="H83" s="27" t="s">
        <v>98</v>
      </c>
      <c r="I83" s="27" t="s">
        <v>547</v>
      </c>
      <c r="J83" s="27" t="s">
        <v>548</v>
      </c>
      <c r="K83" s="27" t="s">
        <v>549</v>
      </c>
      <c r="L83" s="28" t="s">
        <v>37</v>
      </c>
      <c r="M83" s="27"/>
      <c r="N83" s="27"/>
      <c r="O83" s="27"/>
    </row>
    <row r="84" customFormat="false" ht="15" hidden="false" customHeight="false" outlineLevel="0" collapsed="false">
      <c r="A84" s="22" t="s">
        <v>550</v>
      </c>
      <c r="B84" s="23" t="s">
        <v>51</v>
      </c>
      <c r="C84" s="23" t="s">
        <v>481</v>
      </c>
      <c r="D84" s="23" t="s">
        <v>551</v>
      </c>
      <c r="E84" s="29" t="s">
        <v>96</v>
      </c>
      <c r="F84" s="23" t="s">
        <v>81</v>
      </c>
      <c r="G84" s="23" t="s">
        <v>529</v>
      </c>
      <c r="H84" s="23" t="s">
        <v>98</v>
      </c>
      <c r="I84" s="23" t="s">
        <v>552</v>
      </c>
      <c r="J84" s="23" t="s">
        <v>553</v>
      </c>
      <c r="K84" s="23" t="s">
        <v>532</v>
      </c>
      <c r="L84" s="25" t="s">
        <v>37</v>
      </c>
      <c r="M84" s="23"/>
      <c r="N84" s="23"/>
      <c r="O84" s="23"/>
    </row>
    <row r="85" customFormat="false" ht="22.35" hidden="false" customHeight="false" outlineLevel="0" collapsed="false">
      <c r="A85" s="26" t="s">
        <v>554</v>
      </c>
      <c r="B85" s="27" t="s">
        <v>52</v>
      </c>
      <c r="C85" s="27" t="s">
        <v>151</v>
      </c>
      <c r="D85" s="27" t="s">
        <v>555</v>
      </c>
      <c r="E85" s="24" t="s">
        <v>80</v>
      </c>
      <c r="F85" s="27" t="s">
        <v>382</v>
      </c>
      <c r="G85" s="27" t="s">
        <v>556</v>
      </c>
      <c r="H85" s="27" t="s">
        <v>83</v>
      </c>
      <c r="I85" s="27" t="s">
        <v>557</v>
      </c>
      <c r="J85" s="27" t="s">
        <v>558</v>
      </c>
      <c r="K85" s="27" t="s">
        <v>559</v>
      </c>
      <c r="L85" s="28" t="s">
        <v>37</v>
      </c>
      <c r="M85" s="27"/>
      <c r="N85" s="27"/>
      <c r="O85" s="27"/>
    </row>
    <row r="86" customFormat="false" ht="15" hidden="false" customHeight="false" outlineLevel="0" collapsed="false">
      <c r="A86" s="22" t="s">
        <v>560</v>
      </c>
      <c r="B86" s="23" t="s">
        <v>52</v>
      </c>
      <c r="C86" s="23" t="s">
        <v>561</v>
      </c>
      <c r="D86" s="23" t="s">
        <v>562</v>
      </c>
      <c r="E86" s="29" t="s">
        <v>96</v>
      </c>
      <c r="F86" s="23" t="s">
        <v>81</v>
      </c>
      <c r="G86" s="23" t="s">
        <v>563</v>
      </c>
      <c r="H86" s="23" t="s">
        <v>83</v>
      </c>
      <c r="I86" s="23" t="s">
        <v>564</v>
      </c>
      <c r="J86" s="23" t="s">
        <v>565</v>
      </c>
      <c r="K86" s="23" t="s">
        <v>566</v>
      </c>
      <c r="L86" s="25" t="s">
        <v>37</v>
      </c>
      <c r="M86" s="23"/>
      <c r="N86" s="23"/>
      <c r="O86" s="23"/>
    </row>
    <row r="87" customFormat="false" ht="15" hidden="false" customHeight="false" outlineLevel="0" collapsed="false">
      <c r="A87" s="26" t="s">
        <v>567</v>
      </c>
      <c r="B87" s="27" t="s">
        <v>52</v>
      </c>
      <c r="C87" s="27" t="s">
        <v>568</v>
      </c>
      <c r="D87" s="27" t="s">
        <v>569</v>
      </c>
      <c r="E87" s="30" t="s">
        <v>123</v>
      </c>
      <c r="F87" s="27" t="s">
        <v>81</v>
      </c>
      <c r="G87" s="27" t="s">
        <v>90</v>
      </c>
      <c r="H87" s="27" t="s">
        <v>83</v>
      </c>
      <c r="I87" s="27" t="s">
        <v>570</v>
      </c>
      <c r="J87" s="27" t="s">
        <v>571</v>
      </c>
      <c r="K87" s="27" t="s">
        <v>572</v>
      </c>
      <c r="L87" s="28" t="s">
        <v>37</v>
      </c>
      <c r="M87" s="27"/>
      <c r="N87" s="27"/>
      <c r="O87" s="27"/>
    </row>
    <row r="88" customFormat="false" ht="15" hidden="false" customHeight="false" outlineLevel="0" collapsed="false">
      <c r="A88" s="22" t="s">
        <v>573</v>
      </c>
      <c r="B88" s="23" t="s">
        <v>52</v>
      </c>
      <c r="C88" s="23" t="s">
        <v>574</v>
      </c>
      <c r="D88" s="23" t="s">
        <v>575</v>
      </c>
      <c r="E88" s="30" t="s">
        <v>123</v>
      </c>
      <c r="F88" s="23" t="s">
        <v>81</v>
      </c>
      <c r="G88" s="23" t="s">
        <v>563</v>
      </c>
      <c r="H88" s="23" t="s">
        <v>83</v>
      </c>
      <c r="I88" s="23" t="s">
        <v>576</v>
      </c>
      <c r="J88" s="23" t="s">
        <v>577</v>
      </c>
      <c r="K88" s="23" t="s">
        <v>578</v>
      </c>
      <c r="L88" s="25" t="s">
        <v>37</v>
      </c>
      <c r="M88" s="23"/>
      <c r="N88" s="23"/>
      <c r="O88" s="23"/>
    </row>
    <row r="89" customFormat="false" ht="15" hidden="false" customHeight="false" outlineLevel="0" collapsed="false">
      <c r="A89" s="26" t="s">
        <v>579</v>
      </c>
      <c r="B89" s="27" t="s">
        <v>53</v>
      </c>
      <c r="C89" s="27" t="s">
        <v>580</v>
      </c>
      <c r="D89" s="27" t="s">
        <v>581</v>
      </c>
      <c r="E89" s="30" t="s">
        <v>123</v>
      </c>
      <c r="F89" s="27" t="s">
        <v>81</v>
      </c>
      <c r="G89" s="27" t="s">
        <v>90</v>
      </c>
      <c r="H89" s="27" t="s">
        <v>83</v>
      </c>
      <c r="I89" s="27" t="s">
        <v>582</v>
      </c>
      <c r="J89" s="27" t="s">
        <v>583</v>
      </c>
      <c r="K89" s="27" t="s">
        <v>466</v>
      </c>
      <c r="L89" s="28" t="s">
        <v>37</v>
      </c>
      <c r="M89" s="27"/>
      <c r="N89" s="27"/>
      <c r="O89" s="27"/>
    </row>
    <row r="90" customFormat="false" ht="15" hidden="false" customHeight="false" outlineLevel="0" collapsed="false">
      <c r="A90" s="22" t="s">
        <v>584</v>
      </c>
      <c r="B90" s="23" t="s">
        <v>53</v>
      </c>
      <c r="C90" s="23" t="s">
        <v>585</v>
      </c>
      <c r="D90" s="23" t="s">
        <v>586</v>
      </c>
      <c r="E90" s="29" t="s">
        <v>96</v>
      </c>
      <c r="F90" s="23" t="s">
        <v>587</v>
      </c>
      <c r="G90" s="23" t="s">
        <v>242</v>
      </c>
      <c r="H90" s="23" t="s">
        <v>83</v>
      </c>
      <c r="I90" s="23" t="s">
        <v>588</v>
      </c>
      <c r="J90" s="23" t="s">
        <v>589</v>
      </c>
      <c r="K90" s="23" t="s">
        <v>590</v>
      </c>
      <c r="L90" s="25" t="s">
        <v>37</v>
      </c>
      <c r="M90" s="23"/>
      <c r="N90" s="23"/>
      <c r="O90" s="23"/>
    </row>
    <row r="91" customFormat="false" ht="15" hidden="false" customHeight="false" outlineLevel="0" collapsed="false">
      <c r="A91" s="26" t="s">
        <v>591</v>
      </c>
      <c r="B91" s="27" t="s">
        <v>53</v>
      </c>
      <c r="C91" s="27" t="s">
        <v>592</v>
      </c>
      <c r="D91" s="27" t="s">
        <v>593</v>
      </c>
      <c r="E91" s="30" t="s">
        <v>123</v>
      </c>
      <c r="F91" s="27" t="s">
        <v>587</v>
      </c>
      <c r="G91" s="27" t="s">
        <v>594</v>
      </c>
      <c r="H91" s="27" t="s">
        <v>124</v>
      </c>
      <c r="I91" s="27" t="s">
        <v>595</v>
      </c>
      <c r="J91" s="27" t="s">
        <v>596</v>
      </c>
      <c r="K91" s="27" t="s">
        <v>466</v>
      </c>
      <c r="L91" s="28" t="s">
        <v>37</v>
      </c>
      <c r="M91" s="27"/>
      <c r="N91" s="27"/>
      <c r="O91" s="27"/>
    </row>
    <row r="92" customFormat="false" ht="15" hidden="false" customHeight="false" outlineLevel="0" collapsed="false">
      <c r="A92" s="22" t="s">
        <v>597</v>
      </c>
      <c r="B92" s="23" t="s">
        <v>54</v>
      </c>
      <c r="C92" s="23" t="s">
        <v>598</v>
      </c>
      <c r="D92" s="23" t="s">
        <v>599</v>
      </c>
      <c r="E92" s="24" t="s">
        <v>80</v>
      </c>
      <c r="F92" s="23" t="s">
        <v>97</v>
      </c>
      <c r="G92" s="23" t="s">
        <v>600</v>
      </c>
      <c r="H92" s="23" t="s">
        <v>98</v>
      </c>
      <c r="I92" s="23" t="s">
        <v>601</v>
      </c>
      <c r="J92" s="23" t="s">
        <v>602</v>
      </c>
      <c r="K92" s="23" t="s">
        <v>603</v>
      </c>
      <c r="L92" s="25" t="s">
        <v>37</v>
      </c>
      <c r="M92" s="23"/>
      <c r="N92" s="23"/>
      <c r="O92" s="23"/>
    </row>
    <row r="93" customFormat="false" ht="15" hidden="false" customHeight="false" outlineLevel="0" collapsed="false">
      <c r="A93" s="26" t="s">
        <v>604</v>
      </c>
      <c r="B93" s="27" t="s">
        <v>54</v>
      </c>
      <c r="C93" s="27" t="s">
        <v>373</v>
      </c>
      <c r="D93" s="27" t="s">
        <v>605</v>
      </c>
      <c r="E93" s="29" t="s">
        <v>96</v>
      </c>
      <c r="F93" s="27" t="s">
        <v>97</v>
      </c>
      <c r="G93" s="27" t="s">
        <v>606</v>
      </c>
      <c r="H93" s="27" t="s">
        <v>98</v>
      </c>
      <c r="I93" s="27" t="s">
        <v>607</v>
      </c>
      <c r="J93" s="27" t="s">
        <v>608</v>
      </c>
      <c r="K93" s="27" t="s">
        <v>609</v>
      </c>
      <c r="L93" s="28" t="s">
        <v>37</v>
      </c>
      <c r="M93" s="27"/>
      <c r="N93" s="27"/>
      <c r="O93" s="27"/>
    </row>
    <row r="94" customFormat="false" ht="15" hidden="false" customHeight="false" outlineLevel="0" collapsed="false">
      <c r="A94" s="22" t="s">
        <v>610</v>
      </c>
      <c r="B94" s="23" t="s">
        <v>54</v>
      </c>
      <c r="C94" s="23" t="s">
        <v>171</v>
      </c>
      <c r="D94" s="23" t="s">
        <v>611</v>
      </c>
      <c r="E94" s="24" t="s">
        <v>80</v>
      </c>
      <c r="F94" s="23" t="s">
        <v>97</v>
      </c>
      <c r="G94" s="23" t="s">
        <v>612</v>
      </c>
      <c r="H94" s="23" t="s">
        <v>83</v>
      </c>
      <c r="I94" s="23" t="s">
        <v>613</v>
      </c>
      <c r="J94" s="23" t="s">
        <v>614</v>
      </c>
      <c r="K94" s="23" t="s">
        <v>176</v>
      </c>
      <c r="L94" s="25" t="s">
        <v>37</v>
      </c>
      <c r="M94" s="23"/>
      <c r="N94" s="23"/>
      <c r="O94" s="23"/>
    </row>
    <row r="95" customFormat="false" ht="15" hidden="false" customHeight="false" outlineLevel="0" collapsed="false">
      <c r="A95" s="26" t="s">
        <v>615</v>
      </c>
      <c r="B95" s="27" t="s">
        <v>55</v>
      </c>
      <c r="C95" s="27" t="s">
        <v>616</v>
      </c>
      <c r="D95" s="27" t="s">
        <v>617</v>
      </c>
      <c r="E95" s="29" t="s">
        <v>96</v>
      </c>
      <c r="F95" s="27" t="s">
        <v>587</v>
      </c>
      <c r="G95" s="27" t="s">
        <v>618</v>
      </c>
      <c r="H95" s="27" t="s">
        <v>98</v>
      </c>
      <c r="I95" s="27" t="s">
        <v>619</v>
      </c>
      <c r="J95" s="27" t="s">
        <v>620</v>
      </c>
      <c r="K95" s="27" t="s">
        <v>621</v>
      </c>
      <c r="L95" s="28" t="s">
        <v>37</v>
      </c>
      <c r="M95" s="27"/>
      <c r="N95" s="27"/>
      <c r="O95" s="27"/>
    </row>
    <row r="96" customFormat="false" ht="15" hidden="false" customHeight="false" outlineLevel="0" collapsed="false">
      <c r="A96" s="22" t="s">
        <v>622</v>
      </c>
      <c r="B96" s="23" t="s">
        <v>55</v>
      </c>
      <c r="C96" s="23" t="s">
        <v>623</v>
      </c>
      <c r="D96" s="23" t="s">
        <v>624</v>
      </c>
      <c r="E96" s="30" t="s">
        <v>123</v>
      </c>
      <c r="F96" s="23" t="s">
        <v>81</v>
      </c>
      <c r="G96" s="23" t="s">
        <v>618</v>
      </c>
      <c r="H96" s="23" t="s">
        <v>98</v>
      </c>
      <c r="I96" s="23" t="s">
        <v>625</v>
      </c>
      <c r="J96" s="23" t="s">
        <v>626</v>
      </c>
      <c r="K96" s="23" t="s">
        <v>621</v>
      </c>
      <c r="L96" s="25" t="s">
        <v>37</v>
      </c>
      <c r="M96" s="23"/>
      <c r="N96" s="23"/>
      <c r="O96" s="23"/>
    </row>
    <row r="97" customFormat="false" ht="15" hidden="false" customHeight="false" outlineLevel="0" collapsed="false">
      <c r="A97" s="26" t="s">
        <v>627</v>
      </c>
      <c r="B97" s="27" t="s">
        <v>56</v>
      </c>
      <c r="C97" s="27" t="s">
        <v>628</v>
      </c>
      <c r="D97" s="27" t="s">
        <v>629</v>
      </c>
      <c r="E97" s="29" t="s">
        <v>96</v>
      </c>
      <c r="F97" s="27" t="s">
        <v>81</v>
      </c>
      <c r="G97" s="27" t="s">
        <v>90</v>
      </c>
      <c r="H97" s="27" t="s">
        <v>83</v>
      </c>
      <c r="I97" s="27" t="s">
        <v>582</v>
      </c>
      <c r="J97" s="27" t="s">
        <v>630</v>
      </c>
      <c r="K97" s="27" t="s">
        <v>631</v>
      </c>
      <c r="L97" s="28" t="s">
        <v>37</v>
      </c>
      <c r="M97" s="27"/>
      <c r="N97" s="27"/>
      <c r="O97" s="27"/>
    </row>
    <row r="98" customFormat="false" ht="15" hidden="false" customHeight="false" outlineLevel="0" collapsed="false">
      <c r="A98" s="22" t="s">
        <v>632</v>
      </c>
      <c r="B98" s="23" t="s">
        <v>56</v>
      </c>
      <c r="C98" s="23" t="s">
        <v>628</v>
      </c>
      <c r="D98" s="23" t="s">
        <v>633</v>
      </c>
      <c r="E98" s="30" t="s">
        <v>123</v>
      </c>
      <c r="F98" s="23" t="s">
        <v>81</v>
      </c>
      <c r="G98" s="23" t="s">
        <v>90</v>
      </c>
      <c r="H98" s="23" t="s">
        <v>83</v>
      </c>
      <c r="I98" s="23" t="s">
        <v>634</v>
      </c>
      <c r="J98" s="23" t="s">
        <v>635</v>
      </c>
      <c r="K98" s="23" t="s">
        <v>631</v>
      </c>
      <c r="L98" s="25" t="s">
        <v>37</v>
      </c>
      <c r="M98" s="23"/>
      <c r="N98" s="23"/>
      <c r="O98" s="23"/>
    </row>
    <row r="99" customFormat="false" ht="15" hidden="false" customHeight="false" outlineLevel="0" collapsed="false">
      <c r="A99" s="26" t="s">
        <v>636</v>
      </c>
      <c r="B99" s="27" t="s">
        <v>56</v>
      </c>
      <c r="C99" s="27" t="s">
        <v>637</v>
      </c>
      <c r="D99" s="27" t="s">
        <v>638</v>
      </c>
      <c r="E99" s="30" t="s">
        <v>123</v>
      </c>
      <c r="F99" s="27" t="s">
        <v>81</v>
      </c>
      <c r="G99" s="27" t="s">
        <v>639</v>
      </c>
      <c r="H99" s="27" t="s">
        <v>83</v>
      </c>
      <c r="I99" s="27" t="s">
        <v>640</v>
      </c>
      <c r="J99" s="27" t="s">
        <v>641</v>
      </c>
      <c r="K99" s="27" t="s">
        <v>631</v>
      </c>
      <c r="L99" s="28" t="s">
        <v>37</v>
      </c>
      <c r="M99" s="27"/>
      <c r="N99" s="27"/>
      <c r="O99" s="27"/>
    </row>
    <row r="100" customFormat="false" ht="22.35" hidden="false" customHeight="false" outlineLevel="0" collapsed="false">
      <c r="A100" s="22" t="s">
        <v>642</v>
      </c>
      <c r="B100" s="23" t="s">
        <v>57</v>
      </c>
      <c r="C100" s="23" t="s">
        <v>493</v>
      </c>
      <c r="D100" s="23" t="s">
        <v>643</v>
      </c>
      <c r="E100" s="29" t="s">
        <v>96</v>
      </c>
      <c r="F100" s="23" t="s">
        <v>81</v>
      </c>
      <c r="G100" s="23" t="s">
        <v>644</v>
      </c>
      <c r="H100" s="23" t="s">
        <v>124</v>
      </c>
      <c r="I100" s="23" t="s">
        <v>645</v>
      </c>
      <c r="J100" s="23" t="s">
        <v>646</v>
      </c>
      <c r="K100" s="23" t="s">
        <v>647</v>
      </c>
      <c r="L100" s="25" t="s">
        <v>37</v>
      </c>
      <c r="M100" s="23"/>
      <c r="N100" s="23"/>
      <c r="O100" s="23"/>
    </row>
    <row r="101" customFormat="false" ht="15" hidden="false" customHeight="false" outlineLevel="0" collapsed="false">
      <c r="A101" s="26" t="s">
        <v>648</v>
      </c>
      <c r="B101" s="27" t="s">
        <v>57</v>
      </c>
      <c r="C101" s="27" t="s">
        <v>649</v>
      </c>
      <c r="D101" s="27" t="s">
        <v>650</v>
      </c>
      <c r="E101" s="30" t="s">
        <v>123</v>
      </c>
      <c r="F101" s="27" t="s">
        <v>89</v>
      </c>
      <c r="G101" s="27" t="s">
        <v>644</v>
      </c>
      <c r="H101" s="27" t="s">
        <v>124</v>
      </c>
      <c r="I101" s="27" t="s">
        <v>651</v>
      </c>
      <c r="J101" s="27" t="s">
        <v>652</v>
      </c>
      <c r="K101" s="27" t="s">
        <v>647</v>
      </c>
      <c r="L101" s="28" t="s">
        <v>37</v>
      </c>
      <c r="M101" s="27"/>
      <c r="N101" s="27"/>
      <c r="O101" s="27"/>
    </row>
    <row r="102" customFormat="false" ht="15" hidden="false" customHeight="false" outlineLevel="0" collapsed="false">
      <c r="A102" s="22" t="s">
        <v>653</v>
      </c>
      <c r="B102" s="23" t="s">
        <v>57</v>
      </c>
      <c r="C102" s="23" t="s">
        <v>654</v>
      </c>
      <c r="D102" s="23" t="s">
        <v>655</v>
      </c>
      <c r="E102" s="30" t="s">
        <v>123</v>
      </c>
      <c r="F102" s="23" t="s">
        <v>81</v>
      </c>
      <c r="G102" s="23" t="s">
        <v>644</v>
      </c>
      <c r="H102" s="23" t="s">
        <v>124</v>
      </c>
      <c r="I102" s="23" t="s">
        <v>656</v>
      </c>
      <c r="J102" s="23" t="s">
        <v>657</v>
      </c>
      <c r="K102" s="23" t="s">
        <v>658</v>
      </c>
      <c r="L102" s="25" t="s">
        <v>37</v>
      </c>
      <c r="M102" s="23"/>
      <c r="N102" s="23"/>
      <c r="O102" s="23"/>
    </row>
    <row r="103" customFormat="false" ht="15" hidden="false" customHeight="false" outlineLevel="0" collapsed="false">
      <c r="A103" s="26" t="s">
        <v>659</v>
      </c>
      <c r="B103" s="27" t="s">
        <v>58</v>
      </c>
      <c r="C103" s="27" t="s">
        <v>660</v>
      </c>
      <c r="D103" s="27" t="s">
        <v>661</v>
      </c>
      <c r="E103" s="29" t="s">
        <v>96</v>
      </c>
      <c r="F103" s="27" t="s">
        <v>81</v>
      </c>
      <c r="G103" s="27" t="s">
        <v>662</v>
      </c>
      <c r="H103" s="27" t="s">
        <v>98</v>
      </c>
      <c r="I103" s="27" t="s">
        <v>663</v>
      </c>
      <c r="J103" s="27" t="s">
        <v>664</v>
      </c>
      <c r="K103" s="27" t="s">
        <v>665</v>
      </c>
      <c r="L103" s="28" t="s">
        <v>37</v>
      </c>
      <c r="M103" s="27"/>
      <c r="N103" s="27"/>
      <c r="O103" s="27"/>
    </row>
    <row r="104" customFormat="false" ht="15" hidden="false" customHeight="false" outlineLevel="0" collapsed="false">
      <c r="A104" s="22" t="s">
        <v>666</v>
      </c>
      <c r="B104" s="23" t="s">
        <v>58</v>
      </c>
      <c r="C104" s="23" t="s">
        <v>392</v>
      </c>
      <c r="D104" s="23" t="s">
        <v>667</v>
      </c>
      <c r="E104" s="30" t="s">
        <v>123</v>
      </c>
      <c r="F104" s="23" t="s">
        <v>81</v>
      </c>
      <c r="G104" s="23" t="s">
        <v>90</v>
      </c>
      <c r="H104" s="23" t="s">
        <v>83</v>
      </c>
      <c r="I104" s="23" t="s">
        <v>668</v>
      </c>
      <c r="J104" s="23" t="s">
        <v>669</v>
      </c>
      <c r="K104" s="23" t="s">
        <v>670</v>
      </c>
      <c r="L104" s="25" t="s">
        <v>37</v>
      </c>
      <c r="M104" s="23"/>
      <c r="N104" s="23"/>
      <c r="O104" s="23"/>
    </row>
    <row r="105" customFormat="false" ht="15" hidden="false" customHeight="false" outlineLevel="0" collapsed="false">
      <c r="A105" s="26" t="s">
        <v>671</v>
      </c>
      <c r="B105" s="27" t="s">
        <v>58</v>
      </c>
      <c r="C105" s="27" t="s">
        <v>672</v>
      </c>
      <c r="D105" s="27" t="s">
        <v>673</v>
      </c>
      <c r="E105" s="30" t="s">
        <v>123</v>
      </c>
      <c r="F105" s="27" t="s">
        <v>674</v>
      </c>
      <c r="G105" s="27" t="s">
        <v>90</v>
      </c>
      <c r="H105" s="27" t="s">
        <v>83</v>
      </c>
      <c r="I105" s="27" t="s">
        <v>675</v>
      </c>
      <c r="J105" s="27" t="s">
        <v>676</v>
      </c>
      <c r="K105" s="27" t="s">
        <v>677</v>
      </c>
      <c r="L105" s="28" t="s">
        <v>37</v>
      </c>
      <c r="M105" s="27"/>
      <c r="N105" s="27"/>
      <c r="O105" s="27"/>
    </row>
  </sheetData>
  <autoFilter ref="A1:O105"/>
  <conditionalFormatting sqref="L2:L105">
    <cfRule type="cellIs" priority="2" operator="equal" aboveAverage="0" equalAverage="0" bottom="0" percent="0" rank="0" text="" dxfId="14">
      <formula>"Pass"</formula>
    </cfRule>
    <cfRule type="cellIs" priority="3" operator="equal" aboveAverage="0" equalAverage="0" bottom="0" percent="0" rank="0" text="" dxfId="15">
      <formula>"Fail"</formula>
    </cfRule>
    <cfRule type="cellIs" priority="4" operator="equal" aboveAverage="0" equalAverage="0" bottom="0" percent="0" rank="0" text="" dxfId="16">
      <formula>"Blocked"</formula>
    </cfRule>
    <cfRule type="cellIs" priority="5" operator="equal" aboveAverage="0" equalAverage="0" bottom="0" percent="0" rank="0" text="" dxfId="17">
      <formula>"In Progress"</formula>
    </cfRule>
    <cfRule type="cellIs" priority="6" operator="equal" aboveAverage="0" equalAverage="0" bottom="0" percent="0" rank="0" text="" dxfId="18">
      <formula>"Not Run"</formula>
    </cfRule>
  </conditionalFormatting>
  <dataValidations count="1">
    <dataValidation allowBlank="true" errorStyle="stop" operator="between" showDropDown="false" showErrorMessage="false" showInputMessage="false" sqref="L2:L105" type="list">
      <formula1>"Pass,Fail,Blocked,In Progress,Not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6"/>
    <col collapsed="false" customWidth="true" hidden="false" outlineLevel="0" max="5" min="5" style="0" width="50"/>
    <col collapsed="false" customWidth="true" hidden="false" outlineLevel="0" max="6" min="6" style="0" width="22"/>
    <col collapsed="false" customWidth="true" hidden="false" outlineLevel="0" max="7" min="7" style="0" width="50"/>
    <col collapsed="false" customWidth="true" hidden="false" outlineLevel="0" max="8" min="8" style="0" width="34"/>
    <col collapsed="false" customWidth="true" hidden="false" outlineLevel="0" max="9" min="9" style="0" width="12"/>
    <col collapsed="false" customWidth="true" hidden="false" outlineLevel="0" max="10" min="10" style="0" width="24"/>
  </cols>
  <sheetData>
    <row r="1" customFormat="false" ht="15" hidden="false" customHeight="false" outlineLevel="0" collapsed="false">
      <c r="A1" s="21" t="s">
        <v>63</v>
      </c>
      <c r="B1" s="21" t="s">
        <v>31</v>
      </c>
      <c r="C1" s="21" t="s">
        <v>678</v>
      </c>
      <c r="D1" s="21" t="s">
        <v>679</v>
      </c>
      <c r="E1" s="21" t="s">
        <v>680</v>
      </c>
      <c r="F1" s="21" t="s">
        <v>681</v>
      </c>
      <c r="G1" s="21" t="s">
        <v>71</v>
      </c>
      <c r="H1" s="21" t="s">
        <v>682</v>
      </c>
      <c r="I1" s="21" t="s">
        <v>73</v>
      </c>
      <c r="J1" s="21" t="s">
        <v>76</v>
      </c>
    </row>
    <row r="2" customFormat="false" ht="15" hidden="false" customHeight="false" outlineLevel="0" collapsed="false">
      <c r="A2" s="31" t="s">
        <v>77</v>
      </c>
      <c r="B2" s="32" t="s">
        <v>38</v>
      </c>
      <c r="C2" s="33" t="s">
        <v>79</v>
      </c>
      <c r="D2" s="34" t="n">
        <v>1</v>
      </c>
      <c r="E2" s="32" t="s">
        <v>683</v>
      </c>
      <c r="F2" s="32" t="s">
        <v>684</v>
      </c>
      <c r="G2" s="32" t="s">
        <v>685</v>
      </c>
      <c r="H2" s="32"/>
      <c r="I2" s="35" t="s">
        <v>37</v>
      </c>
      <c r="J2" s="32"/>
    </row>
    <row r="3" customFormat="false" ht="15" hidden="false" customHeight="false" outlineLevel="0" collapsed="false">
      <c r="A3" s="27"/>
      <c r="B3" s="27"/>
      <c r="C3" s="27"/>
      <c r="D3" s="36" t="n">
        <v>2</v>
      </c>
      <c r="E3" s="27" t="s">
        <v>686</v>
      </c>
      <c r="F3" s="27" t="s">
        <v>687</v>
      </c>
      <c r="G3" s="27" t="s">
        <v>688</v>
      </c>
      <c r="H3" s="27"/>
      <c r="I3" s="28" t="s">
        <v>37</v>
      </c>
      <c r="J3" s="27"/>
    </row>
    <row r="4" customFormat="false" ht="15" hidden="false" customHeight="false" outlineLevel="0" collapsed="false">
      <c r="A4" s="27"/>
      <c r="B4" s="27"/>
      <c r="C4" s="27"/>
      <c r="D4" s="36" t="n">
        <v>3</v>
      </c>
      <c r="E4" s="27" t="s">
        <v>689</v>
      </c>
      <c r="F4" s="27" t="s">
        <v>684</v>
      </c>
      <c r="G4" s="27" t="s">
        <v>690</v>
      </c>
      <c r="H4" s="27"/>
      <c r="I4" s="28" t="s">
        <v>37</v>
      </c>
      <c r="J4" s="27"/>
    </row>
    <row r="5" customFormat="false" ht="15" hidden="false" customHeight="false" outlineLevel="0" collapsed="false">
      <c r="A5" s="31" t="s">
        <v>87</v>
      </c>
      <c r="B5" s="32" t="s">
        <v>38</v>
      </c>
      <c r="C5" s="33" t="s">
        <v>88</v>
      </c>
      <c r="D5" s="34" t="n">
        <v>1</v>
      </c>
      <c r="E5" s="32" t="s">
        <v>691</v>
      </c>
      <c r="F5" s="32" t="s">
        <v>692</v>
      </c>
      <c r="G5" s="32" t="s">
        <v>693</v>
      </c>
      <c r="H5" s="32"/>
      <c r="I5" s="35" t="s">
        <v>37</v>
      </c>
      <c r="J5" s="32"/>
    </row>
    <row r="6" customFormat="false" ht="22.35" hidden="false" customHeight="false" outlineLevel="0" collapsed="false">
      <c r="A6" s="27"/>
      <c r="B6" s="27"/>
      <c r="C6" s="27"/>
      <c r="D6" s="36" t="n">
        <v>2</v>
      </c>
      <c r="E6" s="27" t="s">
        <v>689</v>
      </c>
      <c r="F6" s="27" t="s">
        <v>684</v>
      </c>
      <c r="G6" s="27" t="s">
        <v>694</v>
      </c>
      <c r="H6" s="27"/>
      <c r="I6" s="28" t="s">
        <v>37</v>
      </c>
      <c r="J6" s="27"/>
    </row>
    <row r="7" customFormat="false" ht="15" hidden="false" customHeight="false" outlineLevel="0" collapsed="false">
      <c r="A7" s="31" t="s">
        <v>93</v>
      </c>
      <c r="B7" s="32" t="s">
        <v>38</v>
      </c>
      <c r="C7" s="33" t="s">
        <v>95</v>
      </c>
      <c r="D7" s="34" t="n">
        <v>1</v>
      </c>
      <c r="E7" s="32" t="s">
        <v>695</v>
      </c>
      <c r="F7" s="32" t="s">
        <v>696</v>
      </c>
      <c r="G7" s="32" t="s">
        <v>697</v>
      </c>
      <c r="H7" s="32"/>
      <c r="I7" s="35" t="s">
        <v>37</v>
      </c>
      <c r="J7" s="32"/>
    </row>
    <row r="8" customFormat="false" ht="15" hidden="false" customHeight="false" outlineLevel="0" collapsed="false">
      <c r="A8" s="27"/>
      <c r="B8" s="27"/>
      <c r="C8" s="27"/>
      <c r="D8" s="36" t="n">
        <v>2</v>
      </c>
      <c r="E8" s="27" t="s">
        <v>698</v>
      </c>
      <c r="F8" s="27" t="s">
        <v>692</v>
      </c>
      <c r="G8" s="27" t="s">
        <v>699</v>
      </c>
      <c r="H8" s="27"/>
      <c r="I8" s="28" t="s">
        <v>37</v>
      </c>
      <c r="J8" s="27"/>
    </row>
    <row r="9" customFormat="false" ht="22.35" hidden="false" customHeight="false" outlineLevel="0" collapsed="false">
      <c r="A9" s="31" t="s">
        <v>102</v>
      </c>
      <c r="B9" s="32" t="s">
        <v>38</v>
      </c>
      <c r="C9" s="33" t="s">
        <v>104</v>
      </c>
      <c r="D9" s="34" t="n">
        <v>1</v>
      </c>
      <c r="E9" s="32" t="s">
        <v>700</v>
      </c>
      <c r="F9" s="32" t="s">
        <v>687</v>
      </c>
      <c r="G9" s="32" t="s">
        <v>701</v>
      </c>
      <c r="H9" s="32"/>
      <c r="I9" s="35" t="s">
        <v>37</v>
      </c>
      <c r="J9" s="32"/>
    </row>
    <row r="10" customFormat="false" ht="15" hidden="false" customHeight="false" outlineLevel="0" collapsed="false">
      <c r="A10" s="27"/>
      <c r="B10" s="27"/>
      <c r="C10" s="27"/>
      <c r="D10" s="36" t="n">
        <v>2</v>
      </c>
      <c r="E10" s="27" t="s">
        <v>702</v>
      </c>
      <c r="F10" s="27" t="s">
        <v>703</v>
      </c>
      <c r="G10" s="27" t="s">
        <v>704</v>
      </c>
      <c r="H10" s="27"/>
      <c r="I10" s="28" t="s">
        <v>37</v>
      </c>
      <c r="J10" s="27"/>
    </row>
    <row r="11" customFormat="false" ht="15" hidden="false" customHeight="false" outlineLevel="0" collapsed="false">
      <c r="A11" s="27"/>
      <c r="B11" s="27"/>
      <c r="C11" s="27"/>
      <c r="D11" s="36" t="n">
        <v>3</v>
      </c>
      <c r="E11" s="27" t="s">
        <v>705</v>
      </c>
      <c r="F11" s="27" t="s">
        <v>684</v>
      </c>
      <c r="G11" s="27" t="s">
        <v>706</v>
      </c>
      <c r="H11" s="27"/>
      <c r="I11" s="28" t="s">
        <v>37</v>
      </c>
      <c r="J11" s="27"/>
    </row>
    <row r="12" customFormat="false" ht="15" hidden="false" customHeight="false" outlineLevel="0" collapsed="false">
      <c r="A12" s="31" t="s">
        <v>109</v>
      </c>
      <c r="B12" s="32" t="s">
        <v>38</v>
      </c>
      <c r="C12" s="33" t="s">
        <v>110</v>
      </c>
      <c r="D12" s="34" t="n">
        <v>1</v>
      </c>
      <c r="E12" s="32" t="s">
        <v>700</v>
      </c>
      <c r="F12" s="32" t="s">
        <v>687</v>
      </c>
      <c r="G12" s="32" t="s">
        <v>707</v>
      </c>
      <c r="H12" s="32"/>
      <c r="I12" s="35" t="s">
        <v>37</v>
      </c>
      <c r="J12" s="32"/>
    </row>
    <row r="13" customFormat="false" ht="15" hidden="false" customHeight="false" outlineLevel="0" collapsed="false">
      <c r="A13" s="27"/>
      <c r="B13" s="27"/>
      <c r="C13" s="27"/>
      <c r="D13" s="36" t="n">
        <v>2</v>
      </c>
      <c r="E13" s="27" t="s">
        <v>708</v>
      </c>
      <c r="F13" s="27" t="s">
        <v>709</v>
      </c>
      <c r="G13" s="27" t="s">
        <v>710</v>
      </c>
      <c r="H13" s="27"/>
      <c r="I13" s="28" t="s">
        <v>37</v>
      </c>
      <c r="J13" s="27"/>
    </row>
    <row r="14" customFormat="false" ht="15" hidden="false" customHeight="false" outlineLevel="0" collapsed="false">
      <c r="A14" s="27"/>
      <c r="B14" s="27"/>
      <c r="C14" s="27"/>
      <c r="D14" s="36" t="n">
        <v>3</v>
      </c>
      <c r="E14" s="27" t="s">
        <v>711</v>
      </c>
      <c r="F14" s="27" t="s">
        <v>703</v>
      </c>
      <c r="G14" s="27" t="s">
        <v>712</v>
      </c>
      <c r="H14" s="27"/>
      <c r="I14" s="28" t="s">
        <v>37</v>
      </c>
      <c r="J14" s="27"/>
    </row>
    <row r="15" customFormat="false" ht="15" hidden="false" customHeight="false" outlineLevel="0" collapsed="false">
      <c r="A15" s="31" t="s">
        <v>114</v>
      </c>
      <c r="B15" s="32" t="s">
        <v>38</v>
      </c>
      <c r="C15" s="33" t="s">
        <v>116</v>
      </c>
      <c r="D15" s="34" t="n">
        <v>1</v>
      </c>
      <c r="E15" s="32" t="s">
        <v>713</v>
      </c>
      <c r="F15" s="32" t="s">
        <v>687</v>
      </c>
      <c r="G15" s="32" t="s">
        <v>714</v>
      </c>
      <c r="H15" s="32"/>
      <c r="I15" s="35" t="s">
        <v>37</v>
      </c>
      <c r="J15" s="32"/>
    </row>
    <row r="16" customFormat="false" ht="15" hidden="false" customHeight="false" outlineLevel="0" collapsed="false">
      <c r="A16" s="27"/>
      <c r="B16" s="27"/>
      <c r="C16" s="27"/>
      <c r="D16" s="36" t="n">
        <v>2</v>
      </c>
      <c r="E16" s="27" t="s">
        <v>715</v>
      </c>
      <c r="F16" s="27" t="s">
        <v>716</v>
      </c>
      <c r="G16" s="27" t="s">
        <v>717</v>
      </c>
      <c r="H16" s="27"/>
      <c r="I16" s="28" t="s">
        <v>37</v>
      </c>
      <c r="J16" s="27"/>
    </row>
    <row r="17" customFormat="false" ht="15" hidden="false" customHeight="false" outlineLevel="0" collapsed="false">
      <c r="A17" s="31" t="s">
        <v>120</v>
      </c>
      <c r="B17" s="32" t="s">
        <v>38</v>
      </c>
      <c r="C17" s="33" t="s">
        <v>122</v>
      </c>
      <c r="D17" s="34" t="n">
        <v>1</v>
      </c>
      <c r="E17" s="32" t="s">
        <v>718</v>
      </c>
      <c r="F17" s="32" t="s">
        <v>687</v>
      </c>
      <c r="G17" s="32" t="s">
        <v>719</v>
      </c>
      <c r="H17" s="32"/>
      <c r="I17" s="35" t="s">
        <v>37</v>
      </c>
      <c r="J17" s="32"/>
    </row>
    <row r="18" customFormat="false" ht="22.35" hidden="false" customHeight="false" outlineLevel="0" collapsed="false">
      <c r="A18" s="27"/>
      <c r="B18" s="27"/>
      <c r="C18" s="27"/>
      <c r="D18" s="36" t="n">
        <v>2</v>
      </c>
      <c r="E18" s="27" t="s">
        <v>720</v>
      </c>
      <c r="F18" s="27" t="s">
        <v>684</v>
      </c>
      <c r="G18" s="27" t="s">
        <v>721</v>
      </c>
      <c r="H18" s="27"/>
      <c r="I18" s="28" t="s">
        <v>37</v>
      </c>
      <c r="J18" s="27"/>
    </row>
    <row r="19" customFormat="false" ht="15" hidden="false" customHeight="false" outlineLevel="0" collapsed="false">
      <c r="A19" s="31" t="s">
        <v>127</v>
      </c>
      <c r="B19" s="32" t="s">
        <v>38</v>
      </c>
      <c r="C19" s="33" t="s">
        <v>128</v>
      </c>
      <c r="D19" s="34" t="n">
        <v>1</v>
      </c>
      <c r="E19" s="32" t="s">
        <v>722</v>
      </c>
      <c r="F19" s="32" t="s">
        <v>684</v>
      </c>
      <c r="G19" s="32" t="s">
        <v>723</v>
      </c>
      <c r="H19" s="32"/>
      <c r="I19" s="35" t="s">
        <v>37</v>
      </c>
      <c r="J19" s="32"/>
    </row>
    <row r="20" customFormat="false" ht="15" hidden="false" customHeight="false" outlineLevel="0" collapsed="false">
      <c r="A20" s="27"/>
      <c r="B20" s="27"/>
      <c r="C20" s="27"/>
      <c r="D20" s="36" t="n">
        <v>2</v>
      </c>
      <c r="E20" s="27" t="s">
        <v>724</v>
      </c>
      <c r="F20" s="27" t="s">
        <v>684</v>
      </c>
      <c r="G20" s="27" t="s">
        <v>725</v>
      </c>
      <c r="H20" s="27"/>
      <c r="I20" s="28" t="s">
        <v>37</v>
      </c>
      <c r="J20" s="27"/>
    </row>
    <row r="21" customFormat="false" ht="15" hidden="false" customHeight="false" outlineLevel="0" collapsed="false">
      <c r="A21" s="31" t="s">
        <v>131</v>
      </c>
      <c r="B21" s="32" t="s">
        <v>38</v>
      </c>
      <c r="C21" s="33" t="s">
        <v>133</v>
      </c>
      <c r="D21" s="34" t="n">
        <v>1</v>
      </c>
      <c r="E21" s="32" t="s">
        <v>726</v>
      </c>
      <c r="F21" s="32" t="s">
        <v>684</v>
      </c>
      <c r="G21" s="32" t="s">
        <v>727</v>
      </c>
      <c r="H21" s="32"/>
      <c r="I21" s="35" t="s">
        <v>37</v>
      </c>
      <c r="J21" s="32"/>
    </row>
    <row r="22" customFormat="false" ht="15" hidden="false" customHeight="false" outlineLevel="0" collapsed="false">
      <c r="A22" s="27"/>
      <c r="B22" s="27"/>
      <c r="C22" s="27"/>
      <c r="D22" s="36" t="n">
        <v>2</v>
      </c>
      <c r="E22" s="27" t="s">
        <v>728</v>
      </c>
      <c r="F22" s="27" t="s">
        <v>729</v>
      </c>
      <c r="G22" s="27" t="s">
        <v>730</v>
      </c>
      <c r="H22" s="27"/>
      <c r="I22" s="28" t="s">
        <v>37</v>
      </c>
      <c r="J22" s="27"/>
    </row>
    <row r="23" customFormat="false" ht="15" hidden="false" customHeight="false" outlineLevel="0" collapsed="false">
      <c r="A23" s="27"/>
      <c r="B23" s="27"/>
      <c r="C23" s="27"/>
      <c r="D23" s="36" t="n">
        <v>3</v>
      </c>
      <c r="E23" s="27" t="s">
        <v>731</v>
      </c>
      <c r="F23" s="27" t="s">
        <v>732</v>
      </c>
      <c r="G23" s="27" t="s">
        <v>733</v>
      </c>
      <c r="H23" s="27"/>
      <c r="I23" s="28" t="s">
        <v>37</v>
      </c>
      <c r="J23" s="27"/>
    </row>
    <row r="24" customFormat="false" ht="15" hidden="false" customHeight="false" outlineLevel="0" collapsed="false">
      <c r="A24" s="31" t="s">
        <v>138</v>
      </c>
      <c r="B24" s="32" t="s">
        <v>38</v>
      </c>
      <c r="C24" s="33" t="s">
        <v>139</v>
      </c>
      <c r="D24" s="34" t="n">
        <v>1</v>
      </c>
      <c r="E24" s="32" t="s">
        <v>734</v>
      </c>
      <c r="F24" s="32" t="s">
        <v>735</v>
      </c>
      <c r="G24" s="32" t="s">
        <v>736</v>
      </c>
      <c r="H24" s="32"/>
      <c r="I24" s="35" t="s">
        <v>37</v>
      </c>
      <c r="J24" s="32"/>
    </row>
    <row r="25" customFormat="false" ht="15" hidden="false" customHeight="false" outlineLevel="0" collapsed="false">
      <c r="A25" s="27"/>
      <c r="B25" s="27"/>
      <c r="C25" s="27"/>
      <c r="D25" s="36" t="n">
        <v>2</v>
      </c>
      <c r="E25" s="27" t="s">
        <v>737</v>
      </c>
      <c r="F25" s="27" t="s">
        <v>716</v>
      </c>
      <c r="G25" s="27" t="s">
        <v>738</v>
      </c>
      <c r="H25" s="27"/>
      <c r="I25" s="28" t="s">
        <v>37</v>
      </c>
      <c r="J25" s="27"/>
    </row>
    <row r="26" customFormat="false" ht="15" hidden="false" customHeight="false" outlineLevel="0" collapsed="false">
      <c r="A26" s="27"/>
      <c r="B26" s="27"/>
      <c r="C26" s="27"/>
      <c r="D26" s="36" t="n">
        <v>3</v>
      </c>
      <c r="E26" s="27" t="s">
        <v>739</v>
      </c>
      <c r="F26" s="27" t="s">
        <v>740</v>
      </c>
      <c r="G26" s="27" t="s">
        <v>741</v>
      </c>
      <c r="H26" s="27"/>
      <c r="I26" s="28" t="s">
        <v>37</v>
      </c>
      <c r="J26" s="27"/>
    </row>
    <row r="27" customFormat="false" ht="15" hidden="false" customHeight="false" outlineLevel="0" collapsed="false">
      <c r="A27" s="31" t="s">
        <v>142</v>
      </c>
      <c r="B27" s="32" t="s">
        <v>39</v>
      </c>
      <c r="C27" s="33" t="s">
        <v>144</v>
      </c>
      <c r="D27" s="34" t="n">
        <v>1</v>
      </c>
      <c r="E27" s="32" t="s">
        <v>742</v>
      </c>
      <c r="F27" s="32" t="s">
        <v>684</v>
      </c>
      <c r="G27" s="32" t="s">
        <v>743</v>
      </c>
      <c r="H27" s="32"/>
      <c r="I27" s="35" t="s">
        <v>37</v>
      </c>
      <c r="J27" s="32"/>
    </row>
    <row r="28" customFormat="false" ht="15" hidden="false" customHeight="false" outlineLevel="0" collapsed="false">
      <c r="A28" s="27"/>
      <c r="B28" s="27"/>
      <c r="C28" s="27"/>
      <c r="D28" s="36" t="n">
        <v>2</v>
      </c>
      <c r="E28" s="27" t="s">
        <v>744</v>
      </c>
      <c r="F28" s="27" t="s">
        <v>684</v>
      </c>
      <c r="G28" s="27" t="s">
        <v>745</v>
      </c>
      <c r="H28" s="27"/>
      <c r="I28" s="28" t="s">
        <v>37</v>
      </c>
      <c r="J28" s="27"/>
    </row>
    <row r="29" customFormat="false" ht="15" hidden="false" customHeight="false" outlineLevel="0" collapsed="false">
      <c r="A29" s="31" t="s">
        <v>150</v>
      </c>
      <c r="B29" s="32" t="s">
        <v>39</v>
      </c>
      <c r="C29" s="33" t="s">
        <v>152</v>
      </c>
      <c r="D29" s="34" t="n">
        <v>1</v>
      </c>
      <c r="E29" s="32" t="s">
        <v>746</v>
      </c>
      <c r="F29" s="32" t="s">
        <v>684</v>
      </c>
      <c r="G29" s="32" t="s">
        <v>743</v>
      </c>
      <c r="H29" s="32"/>
      <c r="I29" s="35" t="s">
        <v>37</v>
      </c>
      <c r="J29" s="32"/>
    </row>
    <row r="30" customFormat="false" ht="15" hidden="false" customHeight="false" outlineLevel="0" collapsed="false">
      <c r="A30" s="27"/>
      <c r="B30" s="27"/>
      <c r="C30" s="27"/>
      <c r="D30" s="36" t="n">
        <v>2</v>
      </c>
      <c r="E30" s="27" t="s">
        <v>747</v>
      </c>
      <c r="F30" s="27" t="s">
        <v>748</v>
      </c>
      <c r="G30" s="27" t="s">
        <v>749</v>
      </c>
      <c r="H30" s="27"/>
      <c r="I30" s="28" t="s">
        <v>37</v>
      </c>
      <c r="J30" s="27"/>
    </row>
    <row r="31" customFormat="false" ht="15" hidden="false" customHeight="false" outlineLevel="0" collapsed="false">
      <c r="A31" s="31" t="s">
        <v>157</v>
      </c>
      <c r="B31" s="32" t="s">
        <v>39</v>
      </c>
      <c r="C31" s="33" t="s">
        <v>159</v>
      </c>
      <c r="D31" s="34" t="n">
        <v>1</v>
      </c>
      <c r="E31" s="32" t="s">
        <v>750</v>
      </c>
      <c r="F31" s="32" t="s">
        <v>751</v>
      </c>
      <c r="G31" s="32" t="s">
        <v>752</v>
      </c>
      <c r="H31" s="32"/>
      <c r="I31" s="35" t="s">
        <v>37</v>
      </c>
      <c r="J31" s="32"/>
    </row>
    <row r="32" customFormat="false" ht="15" hidden="false" customHeight="false" outlineLevel="0" collapsed="false">
      <c r="A32" s="27"/>
      <c r="B32" s="27"/>
      <c r="C32" s="27"/>
      <c r="D32" s="36" t="n">
        <v>2</v>
      </c>
      <c r="E32" s="27" t="s">
        <v>753</v>
      </c>
      <c r="F32" s="27" t="s">
        <v>684</v>
      </c>
      <c r="G32" s="27" t="s">
        <v>754</v>
      </c>
      <c r="H32" s="27"/>
      <c r="I32" s="28" t="s">
        <v>37</v>
      </c>
      <c r="J32" s="27"/>
    </row>
    <row r="33" customFormat="false" ht="15" hidden="false" customHeight="false" outlineLevel="0" collapsed="false">
      <c r="A33" s="31" t="s">
        <v>164</v>
      </c>
      <c r="B33" s="32" t="s">
        <v>39</v>
      </c>
      <c r="C33" s="33" t="s">
        <v>165</v>
      </c>
      <c r="D33" s="34" t="n">
        <v>1</v>
      </c>
      <c r="E33" s="32" t="s">
        <v>755</v>
      </c>
      <c r="F33" s="32" t="s">
        <v>684</v>
      </c>
      <c r="G33" s="32" t="s">
        <v>756</v>
      </c>
      <c r="H33" s="32"/>
      <c r="I33" s="35" t="s">
        <v>37</v>
      </c>
      <c r="J33" s="32"/>
    </row>
    <row r="34" customFormat="false" ht="15" hidden="false" customHeight="false" outlineLevel="0" collapsed="false">
      <c r="A34" s="27"/>
      <c r="B34" s="27"/>
      <c r="C34" s="27"/>
      <c r="D34" s="36" t="n">
        <v>2</v>
      </c>
      <c r="E34" s="27" t="s">
        <v>757</v>
      </c>
      <c r="F34" s="27" t="s">
        <v>684</v>
      </c>
      <c r="G34" s="27" t="s">
        <v>758</v>
      </c>
      <c r="H34" s="27"/>
      <c r="I34" s="28" t="s">
        <v>37</v>
      </c>
      <c r="J34" s="27"/>
    </row>
    <row r="35" customFormat="false" ht="15" hidden="false" customHeight="false" outlineLevel="0" collapsed="false">
      <c r="A35" s="31" t="s">
        <v>170</v>
      </c>
      <c r="B35" s="32" t="s">
        <v>39</v>
      </c>
      <c r="C35" s="33" t="s">
        <v>172</v>
      </c>
      <c r="D35" s="34" t="n">
        <v>1</v>
      </c>
      <c r="E35" s="32" t="s">
        <v>759</v>
      </c>
      <c r="F35" s="32" t="s">
        <v>684</v>
      </c>
      <c r="G35" s="32" t="s">
        <v>760</v>
      </c>
      <c r="H35" s="32"/>
      <c r="I35" s="35" t="s">
        <v>37</v>
      </c>
      <c r="J35" s="32"/>
    </row>
    <row r="36" customFormat="false" ht="15" hidden="false" customHeight="false" outlineLevel="0" collapsed="false">
      <c r="A36" s="27"/>
      <c r="B36" s="27"/>
      <c r="C36" s="27"/>
      <c r="D36" s="36" t="n">
        <v>2</v>
      </c>
      <c r="E36" s="27" t="s">
        <v>761</v>
      </c>
      <c r="F36" s="27" t="s">
        <v>762</v>
      </c>
      <c r="G36" s="27" t="s">
        <v>763</v>
      </c>
      <c r="H36" s="27"/>
      <c r="I36" s="28" t="s">
        <v>37</v>
      </c>
      <c r="J36" s="27"/>
    </row>
    <row r="37" customFormat="false" ht="15" hidden="false" customHeight="false" outlineLevel="0" collapsed="false">
      <c r="A37" s="31" t="s">
        <v>177</v>
      </c>
      <c r="B37" s="32" t="s">
        <v>39</v>
      </c>
      <c r="C37" s="33" t="s">
        <v>179</v>
      </c>
      <c r="D37" s="34" t="n">
        <v>1</v>
      </c>
      <c r="E37" s="32" t="s">
        <v>764</v>
      </c>
      <c r="F37" s="32" t="s">
        <v>684</v>
      </c>
      <c r="G37" s="32" t="s">
        <v>765</v>
      </c>
      <c r="H37" s="32"/>
      <c r="I37" s="35" t="s">
        <v>37</v>
      </c>
      <c r="J37" s="32"/>
    </row>
    <row r="38" customFormat="false" ht="15" hidden="false" customHeight="false" outlineLevel="0" collapsed="false">
      <c r="A38" s="27"/>
      <c r="B38" s="27"/>
      <c r="C38" s="27"/>
      <c r="D38" s="36" t="n">
        <v>2</v>
      </c>
      <c r="E38" s="27" t="s">
        <v>766</v>
      </c>
      <c r="F38" s="27" t="s">
        <v>684</v>
      </c>
      <c r="G38" s="27" t="s">
        <v>767</v>
      </c>
      <c r="H38" s="27"/>
      <c r="I38" s="28" t="s">
        <v>37</v>
      </c>
      <c r="J38" s="27"/>
    </row>
    <row r="39" customFormat="false" ht="15" hidden="false" customHeight="false" outlineLevel="0" collapsed="false">
      <c r="A39" s="31" t="s">
        <v>183</v>
      </c>
      <c r="B39" s="32" t="s">
        <v>40</v>
      </c>
      <c r="C39" s="33" t="s">
        <v>184</v>
      </c>
      <c r="D39" s="34" t="n">
        <v>1</v>
      </c>
      <c r="E39" s="32" t="s">
        <v>768</v>
      </c>
      <c r="F39" s="32" t="s">
        <v>684</v>
      </c>
      <c r="G39" s="32" t="s">
        <v>769</v>
      </c>
      <c r="H39" s="32"/>
      <c r="I39" s="35" t="s">
        <v>37</v>
      </c>
      <c r="J39" s="32"/>
    </row>
    <row r="40" customFormat="false" ht="15" hidden="false" customHeight="false" outlineLevel="0" collapsed="false">
      <c r="A40" s="27"/>
      <c r="B40" s="27"/>
      <c r="C40" s="27"/>
      <c r="D40" s="36" t="n">
        <v>2</v>
      </c>
      <c r="E40" s="27" t="s">
        <v>770</v>
      </c>
      <c r="F40" s="27" t="s">
        <v>684</v>
      </c>
      <c r="G40" s="27" t="s">
        <v>771</v>
      </c>
      <c r="H40" s="27"/>
      <c r="I40" s="28" t="s">
        <v>37</v>
      </c>
      <c r="J40" s="27"/>
    </row>
    <row r="41" customFormat="false" ht="15" hidden="false" customHeight="false" outlineLevel="0" collapsed="false">
      <c r="A41" s="31" t="s">
        <v>189</v>
      </c>
      <c r="B41" s="32" t="s">
        <v>40</v>
      </c>
      <c r="C41" s="33" t="s">
        <v>190</v>
      </c>
      <c r="D41" s="34" t="n">
        <v>1</v>
      </c>
      <c r="E41" s="32" t="s">
        <v>772</v>
      </c>
      <c r="F41" s="32" t="s">
        <v>773</v>
      </c>
      <c r="G41" s="32" t="s">
        <v>752</v>
      </c>
      <c r="H41" s="32"/>
      <c r="I41" s="35" t="s">
        <v>37</v>
      </c>
      <c r="J41" s="32"/>
    </row>
    <row r="42" customFormat="false" ht="22.35" hidden="false" customHeight="false" outlineLevel="0" collapsed="false">
      <c r="A42" s="27"/>
      <c r="B42" s="27"/>
      <c r="C42" s="27"/>
      <c r="D42" s="36" t="n">
        <v>2</v>
      </c>
      <c r="E42" s="27" t="s">
        <v>774</v>
      </c>
      <c r="F42" s="27" t="s">
        <v>684</v>
      </c>
      <c r="G42" s="27" t="s">
        <v>775</v>
      </c>
      <c r="H42" s="27"/>
      <c r="I42" s="28" t="s">
        <v>37</v>
      </c>
      <c r="J42" s="27"/>
    </row>
    <row r="43" customFormat="false" ht="15" hidden="false" customHeight="false" outlineLevel="0" collapsed="false">
      <c r="A43" s="31" t="s">
        <v>193</v>
      </c>
      <c r="B43" s="32" t="s">
        <v>40</v>
      </c>
      <c r="C43" s="33" t="s">
        <v>194</v>
      </c>
      <c r="D43" s="34" t="n">
        <v>1</v>
      </c>
      <c r="E43" s="32" t="s">
        <v>776</v>
      </c>
      <c r="F43" s="32" t="s">
        <v>777</v>
      </c>
      <c r="G43" s="32" t="s">
        <v>778</v>
      </c>
      <c r="H43" s="32"/>
      <c r="I43" s="35" t="s">
        <v>37</v>
      </c>
      <c r="J43" s="32"/>
    </row>
    <row r="44" customFormat="false" ht="22.35" hidden="false" customHeight="false" outlineLevel="0" collapsed="false">
      <c r="A44" s="31" t="s">
        <v>197</v>
      </c>
      <c r="B44" s="32" t="s">
        <v>40</v>
      </c>
      <c r="C44" s="33" t="s">
        <v>198</v>
      </c>
      <c r="D44" s="34" t="n">
        <v>1</v>
      </c>
      <c r="E44" s="32" t="s">
        <v>779</v>
      </c>
      <c r="F44" s="32" t="s">
        <v>684</v>
      </c>
      <c r="G44" s="32" t="s">
        <v>780</v>
      </c>
      <c r="H44" s="32"/>
      <c r="I44" s="35" t="s">
        <v>37</v>
      </c>
      <c r="J44" s="32"/>
    </row>
    <row r="45" customFormat="false" ht="22.35" hidden="false" customHeight="false" outlineLevel="0" collapsed="false">
      <c r="A45" s="31" t="s">
        <v>201</v>
      </c>
      <c r="B45" s="32" t="s">
        <v>41</v>
      </c>
      <c r="C45" s="33" t="s">
        <v>203</v>
      </c>
      <c r="D45" s="34" t="n">
        <v>1</v>
      </c>
      <c r="E45" s="32" t="s">
        <v>781</v>
      </c>
      <c r="F45" s="32" t="s">
        <v>684</v>
      </c>
      <c r="G45" s="32" t="s">
        <v>782</v>
      </c>
      <c r="H45" s="32"/>
      <c r="I45" s="35" t="s">
        <v>37</v>
      </c>
      <c r="J45" s="32"/>
    </row>
    <row r="46" customFormat="false" ht="15" hidden="false" customHeight="false" outlineLevel="0" collapsed="false">
      <c r="A46" s="31" t="s">
        <v>208</v>
      </c>
      <c r="B46" s="32" t="s">
        <v>41</v>
      </c>
      <c r="C46" s="33" t="s">
        <v>210</v>
      </c>
      <c r="D46" s="34" t="n">
        <v>1</v>
      </c>
      <c r="E46" s="32" t="s">
        <v>783</v>
      </c>
      <c r="F46" s="32" t="s">
        <v>684</v>
      </c>
      <c r="G46" s="32" t="s">
        <v>784</v>
      </c>
      <c r="H46" s="32"/>
      <c r="I46" s="35" t="s">
        <v>37</v>
      </c>
      <c r="J46" s="32"/>
    </row>
    <row r="47" customFormat="false" ht="22.35" hidden="false" customHeight="false" outlineLevel="0" collapsed="false">
      <c r="A47" s="27"/>
      <c r="B47" s="27"/>
      <c r="C47" s="27"/>
      <c r="D47" s="36" t="n">
        <v>2</v>
      </c>
      <c r="E47" s="27" t="s">
        <v>785</v>
      </c>
      <c r="F47" s="27" t="s">
        <v>684</v>
      </c>
      <c r="G47" s="27" t="s">
        <v>786</v>
      </c>
      <c r="H47" s="27"/>
      <c r="I47" s="28" t="s">
        <v>37</v>
      </c>
      <c r="J47" s="27"/>
    </row>
    <row r="48" customFormat="false" ht="15" hidden="false" customHeight="false" outlineLevel="0" collapsed="false">
      <c r="A48" s="31" t="s">
        <v>213</v>
      </c>
      <c r="B48" s="32" t="s">
        <v>41</v>
      </c>
      <c r="C48" s="33" t="s">
        <v>215</v>
      </c>
      <c r="D48" s="34" t="n">
        <v>1</v>
      </c>
      <c r="E48" s="32" t="s">
        <v>787</v>
      </c>
      <c r="F48" s="32" t="s">
        <v>684</v>
      </c>
      <c r="G48" s="32" t="s">
        <v>788</v>
      </c>
      <c r="H48" s="32"/>
      <c r="I48" s="35" t="s">
        <v>37</v>
      </c>
      <c r="J48" s="32"/>
    </row>
    <row r="49" customFormat="false" ht="15" hidden="false" customHeight="false" outlineLevel="0" collapsed="false">
      <c r="A49" s="27"/>
      <c r="B49" s="27"/>
      <c r="C49" s="27"/>
      <c r="D49" s="36" t="n">
        <v>2</v>
      </c>
      <c r="E49" s="27" t="s">
        <v>789</v>
      </c>
      <c r="F49" s="27" t="s">
        <v>790</v>
      </c>
      <c r="G49" s="27" t="s">
        <v>791</v>
      </c>
      <c r="H49" s="27"/>
      <c r="I49" s="28" t="s">
        <v>37</v>
      </c>
      <c r="J49" s="27"/>
    </row>
    <row r="50" customFormat="false" ht="15" hidden="false" customHeight="false" outlineLevel="0" collapsed="false">
      <c r="A50" s="31" t="s">
        <v>218</v>
      </c>
      <c r="B50" s="32" t="s">
        <v>41</v>
      </c>
      <c r="C50" s="33" t="s">
        <v>220</v>
      </c>
      <c r="D50" s="34" t="n">
        <v>1</v>
      </c>
      <c r="E50" s="32" t="s">
        <v>792</v>
      </c>
      <c r="F50" s="32" t="s">
        <v>793</v>
      </c>
      <c r="G50" s="32" t="s">
        <v>794</v>
      </c>
      <c r="H50" s="32"/>
      <c r="I50" s="35" t="s">
        <v>37</v>
      </c>
      <c r="J50" s="32"/>
    </row>
    <row r="51" customFormat="false" ht="22.35" hidden="false" customHeight="false" outlineLevel="0" collapsed="false">
      <c r="A51" s="27"/>
      <c r="B51" s="27"/>
      <c r="C51" s="27"/>
      <c r="D51" s="36" t="n">
        <v>2</v>
      </c>
      <c r="E51" s="27" t="s">
        <v>795</v>
      </c>
      <c r="F51" s="27" t="s">
        <v>684</v>
      </c>
      <c r="G51" s="27" t="s">
        <v>796</v>
      </c>
      <c r="H51" s="27"/>
      <c r="I51" s="28" t="s">
        <v>37</v>
      </c>
      <c r="J51" s="27"/>
    </row>
    <row r="52" customFormat="false" ht="15" hidden="false" customHeight="false" outlineLevel="0" collapsed="false">
      <c r="A52" s="31" t="s">
        <v>224</v>
      </c>
      <c r="B52" s="32" t="s">
        <v>41</v>
      </c>
      <c r="C52" s="33" t="s">
        <v>226</v>
      </c>
      <c r="D52" s="34" t="n">
        <v>1</v>
      </c>
      <c r="E52" s="32" t="s">
        <v>797</v>
      </c>
      <c r="F52" s="32" t="s">
        <v>684</v>
      </c>
      <c r="G52" s="32" t="s">
        <v>798</v>
      </c>
      <c r="H52" s="32"/>
      <c r="I52" s="35" t="s">
        <v>37</v>
      </c>
      <c r="J52" s="32"/>
    </row>
    <row r="53" customFormat="false" ht="15" hidden="false" customHeight="false" outlineLevel="0" collapsed="false">
      <c r="A53" s="27"/>
      <c r="B53" s="27"/>
      <c r="C53" s="27"/>
      <c r="D53" s="36" t="n">
        <v>2</v>
      </c>
      <c r="E53" s="27" t="s">
        <v>799</v>
      </c>
      <c r="F53" s="27" t="s">
        <v>684</v>
      </c>
      <c r="G53" s="27" t="s">
        <v>800</v>
      </c>
      <c r="H53" s="27"/>
      <c r="I53" s="28" t="s">
        <v>37</v>
      </c>
      <c r="J53" s="27"/>
    </row>
    <row r="54" customFormat="false" ht="22.35" hidden="false" customHeight="false" outlineLevel="0" collapsed="false">
      <c r="A54" s="31" t="s">
        <v>229</v>
      </c>
      <c r="B54" s="32" t="s">
        <v>42</v>
      </c>
      <c r="C54" s="33" t="s">
        <v>231</v>
      </c>
      <c r="D54" s="34" t="n">
        <v>1</v>
      </c>
      <c r="E54" s="32" t="s">
        <v>801</v>
      </c>
      <c r="F54" s="32" t="s">
        <v>802</v>
      </c>
      <c r="G54" s="32" t="s">
        <v>803</v>
      </c>
      <c r="H54" s="32"/>
      <c r="I54" s="35" t="s">
        <v>37</v>
      </c>
      <c r="J54" s="32"/>
    </row>
    <row r="55" customFormat="false" ht="15" hidden="false" customHeight="false" outlineLevel="0" collapsed="false">
      <c r="A55" s="27"/>
      <c r="B55" s="27"/>
      <c r="C55" s="27"/>
      <c r="D55" s="36" t="n">
        <v>2</v>
      </c>
      <c r="E55" s="27" t="s">
        <v>804</v>
      </c>
      <c r="F55" s="27" t="s">
        <v>805</v>
      </c>
      <c r="G55" s="27" t="s">
        <v>806</v>
      </c>
      <c r="H55" s="27"/>
      <c r="I55" s="28" t="s">
        <v>37</v>
      </c>
      <c r="J55" s="27"/>
    </row>
    <row r="56" customFormat="false" ht="22.35" hidden="false" customHeight="false" outlineLevel="0" collapsed="false">
      <c r="A56" s="31" t="s">
        <v>236</v>
      </c>
      <c r="B56" s="32" t="s">
        <v>42</v>
      </c>
      <c r="C56" s="33" t="s">
        <v>237</v>
      </c>
      <c r="D56" s="34" t="n">
        <v>1</v>
      </c>
      <c r="E56" s="32" t="s">
        <v>807</v>
      </c>
      <c r="F56" s="32" t="s">
        <v>808</v>
      </c>
      <c r="G56" s="32" t="s">
        <v>809</v>
      </c>
      <c r="H56" s="32"/>
      <c r="I56" s="35" t="s">
        <v>37</v>
      </c>
      <c r="J56" s="32"/>
    </row>
    <row r="57" customFormat="false" ht="15" hidden="false" customHeight="false" outlineLevel="0" collapsed="false">
      <c r="A57" s="27"/>
      <c r="B57" s="27"/>
      <c r="C57" s="27"/>
      <c r="D57" s="36" t="n">
        <v>2</v>
      </c>
      <c r="E57" s="27" t="s">
        <v>810</v>
      </c>
      <c r="F57" s="27" t="s">
        <v>811</v>
      </c>
      <c r="G57" s="27" t="s">
        <v>812</v>
      </c>
      <c r="H57" s="27"/>
      <c r="I57" s="28" t="s">
        <v>37</v>
      </c>
      <c r="J57" s="27"/>
    </row>
    <row r="58" customFormat="false" ht="22.35" hidden="false" customHeight="false" outlineLevel="0" collapsed="false">
      <c r="A58" s="31" t="s">
        <v>240</v>
      </c>
      <c r="B58" s="32" t="s">
        <v>42</v>
      </c>
      <c r="C58" s="33" t="s">
        <v>241</v>
      </c>
      <c r="D58" s="34" t="n">
        <v>1</v>
      </c>
      <c r="E58" s="32" t="s">
        <v>813</v>
      </c>
      <c r="F58" s="32" t="s">
        <v>684</v>
      </c>
      <c r="G58" s="32" t="s">
        <v>814</v>
      </c>
      <c r="H58" s="32"/>
      <c r="I58" s="35" t="s">
        <v>37</v>
      </c>
      <c r="J58" s="32"/>
    </row>
    <row r="59" customFormat="false" ht="22.35" hidden="false" customHeight="false" outlineLevel="0" collapsed="false">
      <c r="A59" s="31" t="s">
        <v>245</v>
      </c>
      <c r="B59" s="32" t="s">
        <v>42</v>
      </c>
      <c r="C59" s="33" t="s">
        <v>246</v>
      </c>
      <c r="D59" s="34" t="n">
        <v>1</v>
      </c>
      <c r="E59" s="32" t="s">
        <v>815</v>
      </c>
      <c r="F59" s="32" t="s">
        <v>684</v>
      </c>
      <c r="G59" s="32" t="s">
        <v>816</v>
      </c>
      <c r="H59" s="32"/>
      <c r="I59" s="35" t="s">
        <v>37</v>
      </c>
      <c r="J59" s="32"/>
    </row>
    <row r="60" customFormat="false" ht="22.35" hidden="false" customHeight="false" outlineLevel="0" collapsed="false">
      <c r="A60" s="27"/>
      <c r="B60" s="27"/>
      <c r="C60" s="27"/>
      <c r="D60" s="36" t="n">
        <v>2</v>
      </c>
      <c r="E60" s="27" t="s">
        <v>817</v>
      </c>
      <c r="F60" s="27" t="s">
        <v>684</v>
      </c>
      <c r="G60" s="27" t="s">
        <v>818</v>
      </c>
      <c r="H60" s="27"/>
      <c r="I60" s="28" t="s">
        <v>37</v>
      </c>
      <c r="J60" s="27"/>
    </row>
    <row r="61" customFormat="false" ht="22.35" hidden="false" customHeight="false" outlineLevel="0" collapsed="false">
      <c r="A61" s="31" t="s">
        <v>250</v>
      </c>
      <c r="B61" s="32" t="s">
        <v>42</v>
      </c>
      <c r="C61" s="33" t="s">
        <v>251</v>
      </c>
      <c r="D61" s="34" t="n">
        <v>1</v>
      </c>
      <c r="E61" s="32" t="s">
        <v>819</v>
      </c>
      <c r="F61" s="32" t="s">
        <v>684</v>
      </c>
      <c r="G61" s="32" t="s">
        <v>820</v>
      </c>
      <c r="H61" s="32"/>
      <c r="I61" s="35" t="s">
        <v>37</v>
      </c>
      <c r="J61" s="32"/>
    </row>
    <row r="62" customFormat="false" ht="15" hidden="false" customHeight="false" outlineLevel="0" collapsed="false">
      <c r="A62" s="27"/>
      <c r="B62" s="27"/>
      <c r="C62" s="27"/>
      <c r="D62" s="36" t="n">
        <v>2</v>
      </c>
      <c r="E62" s="27" t="s">
        <v>821</v>
      </c>
      <c r="F62" s="27" t="s">
        <v>684</v>
      </c>
      <c r="G62" s="27" t="s">
        <v>822</v>
      </c>
      <c r="H62" s="27"/>
      <c r="I62" s="28" t="s">
        <v>37</v>
      </c>
      <c r="J62" s="27"/>
    </row>
    <row r="63" customFormat="false" ht="22.35" hidden="false" customHeight="false" outlineLevel="0" collapsed="false">
      <c r="A63" s="31" t="s">
        <v>254</v>
      </c>
      <c r="B63" s="32" t="s">
        <v>42</v>
      </c>
      <c r="C63" s="33" t="s">
        <v>255</v>
      </c>
      <c r="D63" s="34" t="n">
        <v>1</v>
      </c>
      <c r="E63" s="32" t="s">
        <v>823</v>
      </c>
      <c r="F63" s="32" t="s">
        <v>824</v>
      </c>
      <c r="G63" s="32" t="s">
        <v>825</v>
      </c>
      <c r="H63" s="32"/>
      <c r="I63" s="35" t="s">
        <v>37</v>
      </c>
      <c r="J63" s="32"/>
    </row>
    <row r="64" customFormat="false" ht="15" hidden="false" customHeight="false" outlineLevel="0" collapsed="false">
      <c r="A64" s="27"/>
      <c r="B64" s="27"/>
      <c r="C64" s="27"/>
      <c r="D64" s="36" t="n">
        <v>2</v>
      </c>
      <c r="E64" s="27" t="s">
        <v>826</v>
      </c>
      <c r="F64" s="27" t="s">
        <v>684</v>
      </c>
      <c r="G64" s="27" t="s">
        <v>827</v>
      </c>
      <c r="H64" s="27"/>
      <c r="I64" s="28" t="s">
        <v>37</v>
      </c>
      <c r="J64" s="27"/>
    </row>
    <row r="65" customFormat="false" ht="15" hidden="false" customHeight="false" outlineLevel="0" collapsed="false">
      <c r="A65" s="31" t="s">
        <v>259</v>
      </c>
      <c r="B65" s="32" t="s">
        <v>43</v>
      </c>
      <c r="C65" s="33" t="s">
        <v>261</v>
      </c>
      <c r="D65" s="34" t="n">
        <v>1</v>
      </c>
      <c r="E65" s="32" t="s">
        <v>828</v>
      </c>
      <c r="F65" s="32" t="s">
        <v>684</v>
      </c>
      <c r="G65" s="32" t="s">
        <v>829</v>
      </c>
      <c r="H65" s="32"/>
      <c r="I65" s="35" t="s">
        <v>37</v>
      </c>
      <c r="J65" s="32"/>
    </row>
    <row r="66" customFormat="false" ht="15" hidden="false" customHeight="false" outlineLevel="0" collapsed="false">
      <c r="A66" s="31" t="s">
        <v>266</v>
      </c>
      <c r="B66" s="32" t="s">
        <v>43</v>
      </c>
      <c r="C66" s="33" t="s">
        <v>267</v>
      </c>
      <c r="D66" s="34" t="n">
        <v>1</v>
      </c>
      <c r="E66" s="32" t="s">
        <v>830</v>
      </c>
      <c r="F66" s="32" t="s">
        <v>684</v>
      </c>
      <c r="G66" s="32" t="s">
        <v>831</v>
      </c>
      <c r="H66" s="32"/>
      <c r="I66" s="35" t="s">
        <v>37</v>
      </c>
      <c r="J66" s="32"/>
    </row>
    <row r="67" customFormat="false" ht="15" hidden="false" customHeight="false" outlineLevel="0" collapsed="false">
      <c r="A67" s="31" t="s">
        <v>271</v>
      </c>
      <c r="B67" s="32" t="s">
        <v>43</v>
      </c>
      <c r="C67" s="33" t="s">
        <v>273</v>
      </c>
      <c r="D67" s="34" t="n">
        <v>1</v>
      </c>
      <c r="E67" s="32" t="s">
        <v>832</v>
      </c>
      <c r="F67" s="32" t="s">
        <v>684</v>
      </c>
      <c r="G67" s="32" t="s">
        <v>833</v>
      </c>
      <c r="H67" s="32"/>
      <c r="I67" s="35" t="s">
        <v>37</v>
      </c>
      <c r="J67" s="32"/>
    </row>
    <row r="68" customFormat="false" ht="15" hidden="false" customHeight="false" outlineLevel="0" collapsed="false">
      <c r="A68" s="27"/>
      <c r="B68" s="27"/>
      <c r="C68" s="27"/>
      <c r="D68" s="36" t="n">
        <v>2</v>
      </c>
      <c r="E68" s="27" t="s">
        <v>834</v>
      </c>
      <c r="F68" s="27" t="s">
        <v>835</v>
      </c>
      <c r="G68" s="27" t="s">
        <v>836</v>
      </c>
      <c r="H68" s="27"/>
      <c r="I68" s="28" t="s">
        <v>37</v>
      </c>
      <c r="J68" s="27"/>
    </row>
    <row r="69" customFormat="false" ht="15" hidden="false" customHeight="false" outlineLevel="0" collapsed="false">
      <c r="A69" s="31" t="s">
        <v>278</v>
      </c>
      <c r="B69" s="32" t="s">
        <v>43</v>
      </c>
      <c r="C69" s="33" t="s">
        <v>279</v>
      </c>
      <c r="D69" s="34" t="n">
        <v>1</v>
      </c>
      <c r="E69" s="32" t="s">
        <v>837</v>
      </c>
      <c r="F69" s="32" t="s">
        <v>838</v>
      </c>
      <c r="G69" s="32" t="s">
        <v>839</v>
      </c>
      <c r="H69" s="32"/>
      <c r="I69" s="35" t="s">
        <v>37</v>
      </c>
      <c r="J69" s="32"/>
    </row>
    <row r="70" customFormat="false" ht="15" hidden="false" customHeight="false" outlineLevel="0" collapsed="false">
      <c r="A70" s="27"/>
      <c r="B70" s="27"/>
      <c r="C70" s="27"/>
      <c r="D70" s="36" t="n">
        <v>2</v>
      </c>
      <c r="E70" s="27" t="s">
        <v>840</v>
      </c>
      <c r="F70" s="27" t="s">
        <v>684</v>
      </c>
      <c r="G70" s="27" t="s">
        <v>841</v>
      </c>
      <c r="H70" s="27"/>
      <c r="I70" s="28" t="s">
        <v>37</v>
      </c>
      <c r="J70" s="27"/>
    </row>
    <row r="71" customFormat="false" ht="15" hidden="false" customHeight="false" outlineLevel="0" collapsed="false">
      <c r="A71" s="31" t="s">
        <v>282</v>
      </c>
      <c r="B71" s="32" t="s">
        <v>43</v>
      </c>
      <c r="C71" s="33" t="s">
        <v>284</v>
      </c>
      <c r="D71" s="34" t="n">
        <v>1</v>
      </c>
      <c r="E71" s="32" t="s">
        <v>842</v>
      </c>
      <c r="F71" s="32" t="s">
        <v>684</v>
      </c>
      <c r="G71" s="32" t="s">
        <v>843</v>
      </c>
      <c r="H71" s="32"/>
      <c r="I71" s="35" t="s">
        <v>37</v>
      </c>
      <c r="J71" s="32"/>
    </row>
    <row r="72" customFormat="false" ht="15" hidden="false" customHeight="false" outlineLevel="0" collapsed="false">
      <c r="A72" s="27"/>
      <c r="B72" s="27"/>
      <c r="C72" s="27"/>
      <c r="D72" s="36" t="n">
        <v>2</v>
      </c>
      <c r="E72" s="27" t="s">
        <v>844</v>
      </c>
      <c r="F72" s="27" t="s">
        <v>845</v>
      </c>
      <c r="G72" s="27" t="s">
        <v>767</v>
      </c>
      <c r="H72" s="27"/>
      <c r="I72" s="28" t="s">
        <v>37</v>
      </c>
      <c r="J72" s="27"/>
    </row>
    <row r="73" customFormat="false" ht="15" hidden="false" customHeight="false" outlineLevel="0" collapsed="false">
      <c r="A73" s="27"/>
      <c r="B73" s="27"/>
      <c r="C73" s="27"/>
      <c r="D73" s="36" t="n">
        <v>3</v>
      </c>
      <c r="E73" s="27" t="s">
        <v>846</v>
      </c>
      <c r="F73" s="27" t="s">
        <v>847</v>
      </c>
      <c r="G73" s="27" t="s">
        <v>848</v>
      </c>
      <c r="H73" s="27"/>
      <c r="I73" s="28" t="s">
        <v>37</v>
      </c>
      <c r="J73" s="27"/>
    </row>
    <row r="74" customFormat="false" ht="15" hidden="false" customHeight="false" outlineLevel="0" collapsed="false">
      <c r="A74" s="31" t="s">
        <v>288</v>
      </c>
      <c r="B74" s="32" t="s">
        <v>43</v>
      </c>
      <c r="C74" s="33" t="s">
        <v>290</v>
      </c>
      <c r="D74" s="34" t="n">
        <v>1</v>
      </c>
      <c r="E74" s="32" t="s">
        <v>849</v>
      </c>
      <c r="F74" s="32" t="s">
        <v>684</v>
      </c>
      <c r="G74" s="32" t="s">
        <v>850</v>
      </c>
      <c r="H74" s="32"/>
      <c r="I74" s="35" t="s">
        <v>37</v>
      </c>
      <c r="J74" s="32"/>
    </row>
    <row r="75" customFormat="false" ht="22.35" hidden="false" customHeight="false" outlineLevel="0" collapsed="false">
      <c r="A75" s="31" t="s">
        <v>293</v>
      </c>
      <c r="B75" s="32" t="s">
        <v>43</v>
      </c>
      <c r="C75" s="33" t="s">
        <v>294</v>
      </c>
      <c r="D75" s="34" t="n">
        <v>1</v>
      </c>
      <c r="E75" s="32" t="s">
        <v>851</v>
      </c>
      <c r="F75" s="32" t="s">
        <v>684</v>
      </c>
      <c r="G75" s="32" t="s">
        <v>852</v>
      </c>
      <c r="H75" s="32"/>
      <c r="I75" s="35" t="s">
        <v>37</v>
      </c>
      <c r="J75" s="32"/>
    </row>
    <row r="76" customFormat="false" ht="15" hidden="false" customHeight="false" outlineLevel="0" collapsed="false">
      <c r="A76" s="31" t="s">
        <v>299</v>
      </c>
      <c r="B76" s="32" t="s">
        <v>44</v>
      </c>
      <c r="C76" s="33" t="s">
        <v>301</v>
      </c>
      <c r="D76" s="34" t="n">
        <v>1</v>
      </c>
      <c r="E76" s="32" t="s">
        <v>853</v>
      </c>
      <c r="F76" s="32" t="s">
        <v>854</v>
      </c>
      <c r="G76" s="32" t="s">
        <v>855</v>
      </c>
      <c r="H76" s="32"/>
      <c r="I76" s="35" t="s">
        <v>37</v>
      </c>
      <c r="J76" s="32"/>
    </row>
    <row r="77" customFormat="false" ht="22.35" hidden="false" customHeight="false" outlineLevel="0" collapsed="false">
      <c r="A77" s="27"/>
      <c r="B77" s="27"/>
      <c r="C77" s="27"/>
      <c r="D77" s="36" t="n">
        <v>2</v>
      </c>
      <c r="E77" s="27" t="s">
        <v>856</v>
      </c>
      <c r="F77" s="27" t="s">
        <v>684</v>
      </c>
      <c r="G77" s="27" t="s">
        <v>857</v>
      </c>
      <c r="H77" s="27"/>
      <c r="I77" s="28" t="s">
        <v>37</v>
      </c>
      <c r="J77" s="27"/>
    </row>
    <row r="78" customFormat="false" ht="15" hidden="false" customHeight="false" outlineLevel="0" collapsed="false">
      <c r="A78" s="31" t="s">
        <v>306</v>
      </c>
      <c r="B78" s="32" t="s">
        <v>44</v>
      </c>
      <c r="C78" s="33" t="s">
        <v>308</v>
      </c>
      <c r="D78" s="34" t="n">
        <v>1</v>
      </c>
      <c r="E78" s="32" t="s">
        <v>858</v>
      </c>
      <c r="F78" s="32" t="s">
        <v>859</v>
      </c>
      <c r="G78" s="32" t="s">
        <v>860</v>
      </c>
      <c r="H78" s="32"/>
      <c r="I78" s="35" t="s">
        <v>37</v>
      </c>
      <c r="J78" s="32"/>
    </row>
    <row r="79" customFormat="false" ht="15" hidden="false" customHeight="false" outlineLevel="0" collapsed="false">
      <c r="A79" s="27"/>
      <c r="B79" s="27"/>
      <c r="C79" s="27"/>
      <c r="D79" s="36" t="n">
        <v>2</v>
      </c>
      <c r="E79" s="27" t="s">
        <v>861</v>
      </c>
      <c r="F79" s="27" t="s">
        <v>862</v>
      </c>
      <c r="G79" s="27" t="s">
        <v>863</v>
      </c>
      <c r="H79" s="27"/>
      <c r="I79" s="28" t="s">
        <v>37</v>
      </c>
      <c r="J79" s="27"/>
    </row>
    <row r="80" customFormat="false" ht="15" hidden="false" customHeight="false" outlineLevel="0" collapsed="false">
      <c r="A80" s="31" t="s">
        <v>312</v>
      </c>
      <c r="B80" s="32" t="s">
        <v>44</v>
      </c>
      <c r="C80" s="33" t="s">
        <v>313</v>
      </c>
      <c r="D80" s="34" t="n">
        <v>1</v>
      </c>
      <c r="E80" s="32" t="s">
        <v>864</v>
      </c>
      <c r="F80" s="32" t="s">
        <v>865</v>
      </c>
      <c r="G80" s="32" t="s">
        <v>866</v>
      </c>
      <c r="H80" s="32"/>
      <c r="I80" s="35" t="s">
        <v>37</v>
      </c>
      <c r="J80" s="32"/>
    </row>
    <row r="81" customFormat="false" ht="15" hidden="false" customHeight="false" outlineLevel="0" collapsed="false">
      <c r="A81" s="27"/>
      <c r="B81" s="27"/>
      <c r="C81" s="27"/>
      <c r="D81" s="36" t="n">
        <v>2</v>
      </c>
      <c r="E81" s="27" t="s">
        <v>867</v>
      </c>
      <c r="F81" s="27" t="s">
        <v>868</v>
      </c>
      <c r="G81" s="27" t="s">
        <v>869</v>
      </c>
      <c r="H81" s="27"/>
      <c r="I81" s="28" t="s">
        <v>37</v>
      </c>
      <c r="J81" s="27"/>
    </row>
    <row r="82" customFormat="false" ht="15" hidden="false" customHeight="false" outlineLevel="0" collapsed="false">
      <c r="A82" s="31" t="s">
        <v>317</v>
      </c>
      <c r="B82" s="32" t="s">
        <v>44</v>
      </c>
      <c r="C82" s="33" t="s">
        <v>319</v>
      </c>
      <c r="D82" s="34" t="n">
        <v>1</v>
      </c>
      <c r="E82" s="32" t="s">
        <v>870</v>
      </c>
      <c r="F82" s="32" t="s">
        <v>871</v>
      </c>
      <c r="G82" s="32" t="s">
        <v>872</v>
      </c>
      <c r="H82" s="32"/>
      <c r="I82" s="35" t="s">
        <v>37</v>
      </c>
      <c r="J82" s="32"/>
    </row>
    <row r="83" customFormat="false" ht="15" hidden="false" customHeight="false" outlineLevel="0" collapsed="false">
      <c r="A83" s="27"/>
      <c r="B83" s="27"/>
      <c r="C83" s="27"/>
      <c r="D83" s="36" t="n">
        <v>2</v>
      </c>
      <c r="E83" s="27" t="s">
        <v>856</v>
      </c>
      <c r="F83" s="27" t="s">
        <v>684</v>
      </c>
      <c r="G83" s="27" t="s">
        <v>873</v>
      </c>
      <c r="H83" s="27"/>
      <c r="I83" s="28" t="s">
        <v>37</v>
      </c>
      <c r="J83" s="27"/>
    </row>
    <row r="84" customFormat="false" ht="15" hidden="false" customHeight="false" outlineLevel="0" collapsed="false">
      <c r="A84" s="31" t="s">
        <v>323</v>
      </c>
      <c r="B84" s="32" t="s">
        <v>44</v>
      </c>
      <c r="C84" s="33" t="s">
        <v>325</v>
      </c>
      <c r="D84" s="34" t="n">
        <v>1</v>
      </c>
      <c r="E84" s="32" t="s">
        <v>874</v>
      </c>
      <c r="F84" s="32" t="s">
        <v>875</v>
      </c>
      <c r="G84" s="32" t="s">
        <v>876</v>
      </c>
      <c r="H84" s="32"/>
      <c r="I84" s="35" t="s">
        <v>37</v>
      </c>
      <c r="J84" s="32"/>
    </row>
    <row r="85" customFormat="false" ht="15" hidden="false" customHeight="false" outlineLevel="0" collapsed="false">
      <c r="A85" s="27"/>
      <c r="B85" s="27"/>
      <c r="C85" s="27"/>
      <c r="D85" s="36" t="n">
        <v>2</v>
      </c>
      <c r="E85" s="27" t="s">
        <v>877</v>
      </c>
      <c r="F85" s="27" t="s">
        <v>684</v>
      </c>
      <c r="G85" s="27" t="s">
        <v>878</v>
      </c>
      <c r="H85" s="27"/>
      <c r="I85" s="28" t="s">
        <v>37</v>
      </c>
      <c r="J85" s="27"/>
    </row>
    <row r="86" customFormat="false" ht="15" hidden="false" customHeight="false" outlineLevel="0" collapsed="false">
      <c r="A86" s="31" t="s">
        <v>329</v>
      </c>
      <c r="B86" s="32" t="s">
        <v>44</v>
      </c>
      <c r="C86" s="33" t="s">
        <v>331</v>
      </c>
      <c r="D86" s="34" t="n">
        <v>1</v>
      </c>
      <c r="E86" s="32" t="s">
        <v>879</v>
      </c>
      <c r="F86" s="32" t="s">
        <v>880</v>
      </c>
      <c r="G86" s="32" t="s">
        <v>881</v>
      </c>
      <c r="H86" s="32"/>
      <c r="I86" s="35" t="s">
        <v>37</v>
      </c>
      <c r="J86" s="32"/>
    </row>
    <row r="87" customFormat="false" ht="15" hidden="false" customHeight="false" outlineLevel="0" collapsed="false">
      <c r="A87" s="27"/>
      <c r="B87" s="27"/>
      <c r="C87" s="27"/>
      <c r="D87" s="36" t="n">
        <v>2</v>
      </c>
      <c r="E87" s="27" t="s">
        <v>882</v>
      </c>
      <c r="F87" s="27" t="s">
        <v>684</v>
      </c>
      <c r="G87" s="27" t="s">
        <v>883</v>
      </c>
      <c r="H87" s="27"/>
      <c r="I87" s="28" t="s">
        <v>37</v>
      </c>
      <c r="J87" s="27"/>
    </row>
    <row r="88" customFormat="false" ht="15" hidden="false" customHeight="false" outlineLevel="0" collapsed="false">
      <c r="A88" s="31" t="s">
        <v>334</v>
      </c>
      <c r="B88" s="32" t="s">
        <v>44</v>
      </c>
      <c r="C88" s="33" t="s">
        <v>336</v>
      </c>
      <c r="D88" s="34" t="n">
        <v>1</v>
      </c>
      <c r="E88" s="32" t="s">
        <v>884</v>
      </c>
      <c r="F88" s="32" t="s">
        <v>684</v>
      </c>
      <c r="G88" s="32" t="s">
        <v>885</v>
      </c>
      <c r="H88" s="32"/>
      <c r="I88" s="35" t="s">
        <v>37</v>
      </c>
      <c r="J88" s="32"/>
    </row>
    <row r="89" customFormat="false" ht="15" hidden="false" customHeight="false" outlineLevel="0" collapsed="false">
      <c r="A89" s="27"/>
      <c r="B89" s="27"/>
      <c r="C89" s="27"/>
      <c r="D89" s="36" t="n">
        <v>2</v>
      </c>
      <c r="E89" s="27" t="s">
        <v>886</v>
      </c>
      <c r="F89" s="27" t="s">
        <v>684</v>
      </c>
      <c r="G89" s="27" t="s">
        <v>887</v>
      </c>
      <c r="H89" s="27"/>
      <c r="I89" s="28" t="s">
        <v>37</v>
      </c>
      <c r="J89" s="27"/>
    </row>
    <row r="90" customFormat="false" ht="15" hidden="false" customHeight="false" outlineLevel="0" collapsed="false">
      <c r="A90" s="31" t="s">
        <v>339</v>
      </c>
      <c r="B90" s="32" t="s">
        <v>44</v>
      </c>
      <c r="C90" s="33" t="s">
        <v>341</v>
      </c>
      <c r="D90" s="34" t="n">
        <v>1</v>
      </c>
      <c r="E90" s="32" t="s">
        <v>888</v>
      </c>
      <c r="F90" s="32" t="s">
        <v>889</v>
      </c>
      <c r="G90" s="32" t="s">
        <v>890</v>
      </c>
      <c r="H90" s="32"/>
      <c r="I90" s="35" t="s">
        <v>37</v>
      </c>
      <c r="J90" s="32"/>
    </row>
    <row r="91" customFormat="false" ht="15" hidden="false" customHeight="false" outlineLevel="0" collapsed="false">
      <c r="A91" s="27"/>
      <c r="B91" s="27"/>
      <c r="C91" s="27"/>
      <c r="D91" s="36" t="n">
        <v>2</v>
      </c>
      <c r="E91" s="27" t="s">
        <v>891</v>
      </c>
      <c r="F91" s="27" t="s">
        <v>892</v>
      </c>
      <c r="G91" s="27" t="s">
        <v>893</v>
      </c>
      <c r="H91" s="27"/>
      <c r="I91" s="28" t="s">
        <v>37</v>
      </c>
      <c r="J91" s="27"/>
    </row>
    <row r="92" customFormat="false" ht="15" hidden="false" customHeight="false" outlineLevel="0" collapsed="false">
      <c r="A92" s="31" t="s">
        <v>344</v>
      </c>
      <c r="B92" s="32" t="s">
        <v>44</v>
      </c>
      <c r="C92" s="33" t="s">
        <v>345</v>
      </c>
      <c r="D92" s="34" t="n">
        <v>1</v>
      </c>
      <c r="E92" s="32" t="s">
        <v>894</v>
      </c>
      <c r="F92" s="32" t="s">
        <v>895</v>
      </c>
      <c r="G92" s="32" t="s">
        <v>896</v>
      </c>
      <c r="H92" s="32"/>
      <c r="I92" s="35" t="s">
        <v>37</v>
      </c>
      <c r="J92" s="32"/>
    </row>
    <row r="93" customFormat="false" ht="15" hidden="false" customHeight="false" outlineLevel="0" collapsed="false">
      <c r="A93" s="27"/>
      <c r="B93" s="27"/>
      <c r="C93" s="27"/>
      <c r="D93" s="36" t="n">
        <v>2</v>
      </c>
      <c r="E93" s="27" t="s">
        <v>897</v>
      </c>
      <c r="F93" s="27" t="s">
        <v>684</v>
      </c>
      <c r="G93" s="27" t="s">
        <v>898</v>
      </c>
      <c r="H93" s="27"/>
      <c r="I93" s="28" t="s">
        <v>37</v>
      </c>
      <c r="J93" s="27"/>
    </row>
    <row r="94" customFormat="false" ht="15" hidden="false" customHeight="false" outlineLevel="0" collapsed="false">
      <c r="A94" s="31" t="s">
        <v>349</v>
      </c>
      <c r="B94" s="32" t="s">
        <v>44</v>
      </c>
      <c r="C94" s="33" t="s">
        <v>350</v>
      </c>
      <c r="D94" s="34" t="n">
        <v>1</v>
      </c>
      <c r="E94" s="32" t="s">
        <v>899</v>
      </c>
      <c r="F94" s="32" t="s">
        <v>684</v>
      </c>
      <c r="G94" s="32" t="s">
        <v>900</v>
      </c>
      <c r="H94" s="32"/>
      <c r="I94" s="35" t="s">
        <v>37</v>
      </c>
      <c r="J94" s="32"/>
    </row>
    <row r="95" customFormat="false" ht="15" hidden="false" customHeight="false" outlineLevel="0" collapsed="false">
      <c r="A95" s="27"/>
      <c r="B95" s="27"/>
      <c r="C95" s="27"/>
      <c r="D95" s="36" t="n">
        <v>2</v>
      </c>
      <c r="E95" s="27" t="s">
        <v>901</v>
      </c>
      <c r="F95" s="27" t="s">
        <v>862</v>
      </c>
      <c r="G95" s="27" t="s">
        <v>902</v>
      </c>
      <c r="H95" s="27"/>
      <c r="I95" s="28" t="s">
        <v>37</v>
      </c>
      <c r="J95" s="27"/>
    </row>
    <row r="96" customFormat="false" ht="15" hidden="false" customHeight="false" outlineLevel="0" collapsed="false">
      <c r="A96" s="31" t="s">
        <v>355</v>
      </c>
      <c r="B96" s="32" t="s">
        <v>45</v>
      </c>
      <c r="C96" s="33" t="s">
        <v>357</v>
      </c>
      <c r="D96" s="34" t="n">
        <v>1</v>
      </c>
      <c r="E96" s="32" t="s">
        <v>903</v>
      </c>
      <c r="F96" s="32" t="s">
        <v>684</v>
      </c>
      <c r="G96" s="32" t="s">
        <v>904</v>
      </c>
      <c r="H96" s="32"/>
      <c r="I96" s="35" t="s">
        <v>37</v>
      </c>
      <c r="J96" s="32"/>
    </row>
    <row r="97" customFormat="false" ht="22.35" hidden="false" customHeight="false" outlineLevel="0" collapsed="false">
      <c r="A97" s="27"/>
      <c r="B97" s="27"/>
      <c r="C97" s="27"/>
      <c r="D97" s="36" t="n">
        <v>2</v>
      </c>
      <c r="E97" s="27" t="s">
        <v>905</v>
      </c>
      <c r="F97" s="27" t="s">
        <v>684</v>
      </c>
      <c r="G97" s="27" t="s">
        <v>906</v>
      </c>
      <c r="H97" s="27"/>
      <c r="I97" s="28" t="s">
        <v>37</v>
      </c>
      <c r="J97" s="27"/>
    </row>
    <row r="98" customFormat="false" ht="22.35" hidden="false" customHeight="false" outlineLevel="0" collapsed="false">
      <c r="A98" s="31" t="s">
        <v>362</v>
      </c>
      <c r="B98" s="32" t="s">
        <v>45</v>
      </c>
      <c r="C98" s="33" t="s">
        <v>364</v>
      </c>
      <c r="D98" s="34" t="n">
        <v>1</v>
      </c>
      <c r="E98" s="32" t="s">
        <v>907</v>
      </c>
      <c r="F98" s="32" t="s">
        <v>684</v>
      </c>
      <c r="G98" s="32" t="s">
        <v>908</v>
      </c>
      <c r="H98" s="32"/>
      <c r="I98" s="35" t="s">
        <v>37</v>
      </c>
      <c r="J98" s="32"/>
    </row>
    <row r="99" customFormat="false" ht="15" hidden="false" customHeight="false" outlineLevel="0" collapsed="false">
      <c r="A99" s="27"/>
      <c r="B99" s="27"/>
      <c r="C99" s="27"/>
      <c r="D99" s="36" t="n">
        <v>2</v>
      </c>
      <c r="E99" s="27" t="s">
        <v>909</v>
      </c>
      <c r="F99" s="27" t="s">
        <v>684</v>
      </c>
      <c r="G99" s="27" t="s">
        <v>910</v>
      </c>
      <c r="H99" s="27"/>
      <c r="I99" s="28" t="s">
        <v>37</v>
      </c>
      <c r="J99" s="27"/>
    </row>
    <row r="100" customFormat="false" ht="22.35" hidden="false" customHeight="false" outlineLevel="0" collapsed="false">
      <c r="A100" s="31" t="s">
        <v>367</v>
      </c>
      <c r="B100" s="32" t="s">
        <v>45</v>
      </c>
      <c r="C100" s="33" t="s">
        <v>369</v>
      </c>
      <c r="D100" s="34" t="n">
        <v>1</v>
      </c>
      <c r="E100" s="32" t="s">
        <v>911</v>
      </c>
      <c r="F100" s="32" t="s">
        <v>684</v>
      </c>
      <c r="G100" s="32" t="s">
        <v>912</v>
      </c>
      <c r="H100" s="32"/>
      <c r="I100" s="35" t="s">
        <v>37</v>
      </c>
      <c r="J100" s="32"/>
    </row>
    <row r="101" customFormat="false" ht="15" hidden="false" customHeight="false" outlineLevel="0" collapsed="false">
      <c r="A101" s="31" t="s">
        <v>372</v>
      </c>
      <c r="B101" s="32" t="s">
        <v>45</v>
      </c>
      <c r="C101" s="33" t="s">
        <v>374</v>
      </c>
      <c r="D101" s="34" t="n">
        <v>1</v>
      </c>
      <c r="E101" s="32" t="s">
        <v>913</v>
      </c>
      <c r="F101" s="32" t="s">
        <v>684</v>
      </c>
      <c r="G101" s="32" t="s">
        <v>914</v>
      </c>
      <c r="H101" s="32"/>
      <c r="I101" s="35" t="s">
        <v>37</v>
      </c>
      <c r="J101" s="32"/>
    </row>
    <row r="102" customFormat="false" ht="15" hidden="false" customHeight="false" outlineLevel="0" collapsed="false">
      <c r="A102" s="27"/>
      <c r="B102" s="27"/>
      <c r="C102" s="27"/>
      <c r="D102" s="36" t="n">
        <v>2</v>
      </c>
      <c r="E102" s="27" t="s">
        <v>915</v>
      </c>
      <c r="F102" s="27" t="s">
        <v>684</v>
      </c>
      <c r="G102" s="27" t="s">
        <v>916</v>
      </c>
      <c r="H102" s="27"/>
      <c r="I102" s="28" t="s">
        <v>37</v>
      </c>
      <c r="J102" s="27"/>
    </row>
    <row r="103" customFormat="false" ht="15" hidden="false" customHeight="false" outlineLevel="0" collapsed="false">
      <c r="A103" s="31" t="s">
        <v>379</v>
      </c>
      <c r="B103" s="32" t="s">
        <v>45</v>
      </c>
      <c r="C103" s="33" t="s">
        <v>381</v>
      </c>
      <c r="D103" s="34" t="n">
        <v>1</v>
      </c>
      <c r="E103" s="32" t="s">
        <v>917</v>
      </c>
      <c r="F103" s="32" t="s">
        <v>684</v>
      </c>
      <c r="G103" s="32" t="s">
        <v>918</v>
      </c>
      <c r="H103" s="32"/>
      <c r="I103" s="35" t="s">
        <v>37</v>
      </c>
      <c r="J103" s="32"/>
    </row>
    <row r="104" customFormat="false" ht="15" hidden="false" customHeight="false" outlineLevel="0" collapsed="false">
      <c r="A104" s="31" t="s">
        <v>385</v>
      </c>
      <c r="B104" s="32" t="s">
        <v>46</v>
      </c>
      <c r="C104" s="33" t="s">
        <v>387</v>
      </c>
      <c r="D104" s="34" t="n">
        <v>1</v>
      </c>
      <c r="E104" s="32" t="s">
        <v>919</v>
      </c>
      <c r="F104" s="32" t="s">
        <v>684</v>
      </c>
      <c r="G104" s="32" t="s">
        <v>920</v>
      </c>
      <c r="H104" s="32"/>
      <c r="I104" s="35" t="s">
        <v>37</v>
      </c>
      <c r="J104" s="32"/>
    </row>
    <row r="105" customFormat="false" ht="32.8" hidden="false" customHeight="false" outlineLevel="0" collapsed="false">
      <c r="A105" s="31" t="s">
        <v>391</v>
      </c>
      <c r="B105" s="32" t="s">
        <v>46</v>
      </c>
      <c r="C105" s="33" t="s">
        <v>393</v>
      </c>
      <c r="D105" s="34" t="n">
        <v>1</v>
      </c>
      <c r="E105" s="32" t="s">
        <v>921</v>
      </c>
      <c r="F105" s="32" t="s">
        <v>684</v>
      </c>
      <c r="G105" s="32" t="s">
        <v>922</v>
      </c>
      <c r="H105" s="32"/>
      <c r="I105" s="35" t="s">
        <v>37</v>
      </c>
      <c r="J105" s="32"/>
    </row>
    <row r="106" customFormat="false" ht="15" hidden="false" customHeight="false" outlineLevel="0" collapsed="false">
      <c r="A106" s="27"/>
      <c r="B106" s="27"/>
      <c r="C106" s="27"/>
      <c r="D106" s="36" t="n">
        <v>2</v>
      </c>
      <c r="E106" s="27" t="s">
        <v>923</v>
      </c>
      <c r="F106" s="27" t="s">
        <v>684</v>
      </c>
      <c r="G106" s="27" t="s">
        <v>924</v>
      </c>
      <c r="H106" s="27"/>
      <c r="I106" s="28" t="s">
        <v>37</v>
      </c>
      <c r="J106" s="27"/>
    </row>
    <row r="107" customFormat="false" ht="15" hidden="false" customHeight="false" outlineLevel="0" collapsed="false">
      <c r="A107" s="31" t="s">
        <v>397</v>
      </c>
      <c r="B107" s="32" t="s">
        <v>46</v>
      </c>
      <c r="C107" s="33" t="s">
        <v>399</v>
      </c>
      <c r="D107" s="34" t="n">
        <v>1</v>
      </c>
      <c r="E107" s="32" t="s">
        <v>925</v>
      </c>
      <c r="F107" s="32" t="s">
        <v>926</v>
      </c>
      <c r="G107" s="32" t="s">
        <v>927</v>
      </c>
      <c r="H107" s="32"/>
      <c r="I107" s="35" t="s">
        <v>37</v>
      </c>
      <c r="J107" s="32"/>
    </row>
    <row r="108" customFormat="false" ht="15" hidden="false" customHeight="false" outlineLevel="0" collapsed="false">
      <c r="A108" s="27"/>
      <c r="B108" s="27"/>
      <c r="C108" s="27"/>
      <c r="D108" s="36" t="n">
        <v>2</v>
      </c>
      <c r="E108" s="27" t="s">
        <v>928</v>
      </c>
      <c r="F108" s="27" t="s">
        <v>684</v>
      </c>
      <c r="G108" s="27" t="s">
        <v>929</v>
      </c>
      <c r="H108" s="27"/>
      <c r="I108" s="28" t="s">
        <v>37</v>
      </c>
      <c r="J108" s="27"/>
    </row>
    <row r="109" customFormat="false" ht="15" hidden="false" customHeight="false" outlineLevel="0" collapsed="false">
      <c r="A109" s="31" t="s">
        <v>403</v>
      </c>
      <c r="B109" s="32" t="s">
        <v>46</v>
      </c>
      <c r="C109" s="33" t="s">
        <v>405</v>
      </c>
      <c r="D109" s="34" t="n">
        <v>1</v>
      </c>
      <c r="E109" s="32" t="s">
        <v>930</v>
      </c>
      <c r="F109" s="32" t="s">
        <v>931</v>
      </c>
      <c r="G109" s="32" t="s">
        <v>752</v>
      </c>
      <c r="H109" s="32"/>
      <c r="I109" s="35" t="s">
        <v>37</v>
      </c>
      <c r="J109" s="32"/>
    </row>
    <row r="110" customFormat="false" ht="15" hidden="false" customHeight="false" outlineLevel="0" collapsed="false">
      <c r="A110" s="27"/>
      <c r="B110" s="27"/>
      <c r="C110" s="27"/>
      <c r="D110" s="36" t="n">
        <v>2</v>
      </c>
      <c r="E110" s="27" t="s">
        <v>932</v>
      </c>
      <c r="F110" s="27" t="s">
        <v>684</v>
      </c>
      <c r="G110" s="27" t="s">
        <v>933</v>
      </c>
      <c r="H110" s="27"/>
      <c r="I110" s="28" t="s">
        <v>37</v>
      </c>
      <c r="J110" s="27"/>
    </row>
    <row r="111" customFormat="false" ht="15" hidden="false" customHeight="false" outlineLevel="0" collapsed="false">
      <c r="A111" s="31" t="s">
        <v>408</v>
      </c>
      <c r="B111" s="32" t="s">
        <v>46</v>
      </c>
      <c r="C111" s="33" t="s">
        <v>410</v>
      </c>
      <c r="D111" s="34" t="n">
        <v>1</v>
      </c>
      <c r="E111" s="32" t="s">
        <v>934</v>
      </c>
      <c r="F111" s="32" t="s">
        <v>935</v>
      </c>
      <c r="G111" s="32" t="s">
        <v>936</v>
      </c>
      <c r="H111" s="32"/>
      <c r="I111" s="35" t="s">
        <v>37</v>
      </c>
      <c r="J111" s="32"/>
    </row>
    <row r="112" customFormat="false" ht="15" hidden="false" customHeight="false" outlineLevel="0" collapsed="false">
      <c r="A112" s="27"/>
      <c r="B112" s="27"/>
      <c r="C112" s="27"/>
      <c r="D112" s="36" t="n">
        <v>2</v>
      </c>
      <c r="E112" s="27" t="s">
        <v>937</v>
      </c>
      <c r="F112" s="27" t="s">
        <v>684</v>
      </c>
      <c r="G112" s="27" t="s">
        <v>938</v>
      </c>
      <c r="H112" s="27"/>
      <c r="I112" s="28" t="s">
        <v>37</v>
      </c>
      <c r="J112" s="27"/>
    </row>
    <row r="113" customFormat="false" ht="15" hidden="false" customHeight="false" outlineLevel="0" collapsed="false">
      <c r="A113" s="31" t="s">
        <v>413</v>
      </c>
      <c r="B113" s="32" t="s">
        <v>47</v>
      </c>
      <c r="C113" s="33" t="s">
        <v>414</v>
      </c>
      <c r="D113" s="34" t="n">
        <v>1</v>
      </c>
      <c r="E113" s="32" t="s">
        <v>939</v>
      </c>
      <c r="F113" s="32" t="s">
        <v>684</v>
      </c>
      <c r="G113" s="32" t="s">
        <v>940</v>
      </c>
      <c r="H113" s="32"/>
      <c r="I113" s="35" t="s">
        <v>37</v>
      </c>
      <c r="J113" s="32"/>
    </row>
    <row r="114" customFormat="false" ht="15" hidden="false" customHeight="false" outlineLevel="0" collapsed="false">
      <c r="A114" s="31" t="s">
        <v>419</v>
      </c>
      <c r="B114" s="32" t="s">
        <v>47</v>
      </c>
      <c r="C114" s="33" t="s">
        <v>421</v>
      </c>
      <c r="D114" s="34" t="n">
        <v>1</v>
      </c>
      <c r="E114" s="32" t="s">
        <v>941</v>
      </c>
      <c r="F114" s="32" t="s">
        <v>684</v>
      </c>
      <c r="G114" s="32" t="s">
        <v>942</v>
      </c>
      <c r="H114" s="32"/>
      <c r="I114" s="35" t="s">
        <v>37</v>
      </c>
      <c r="J114" s="32"/>
    </row>
    <row r="115" customFormat="false" ht="15" hidden="false" customHeight="false" outlineLevel="0" collapsed="false">
      <c r="A115" s="27"/>
      <c r="B115" s="27"/>
      <c r="C115" s="27"/>
      <c r="D115" s="36" t="n">
        <v>2</v>
      </c>
      <c r="E115" s="27" t="s">
        <v>943</v>
      </c>
      <c r="F115" s="27" t="s">
        <v>684</v>
      </c>
      <c r="G115" s="27" t="s">
        <v>944</v>
      </c>
      <c r="H115" s="27"/>
      <c r="I115" s="28" t="s">
        <v>37</v>
      </c>
      <c r="J115" s="27"/>
    </row>
    <row r="116" customFormat="false" ht="15" hidden="false" customHeight="false" outlineLevel="0" collapsed="false">
      <c r="A116" s="31" t="s">
        <v>425</v>
      </c>
      <c r="B116" s="32" t="s">
        <v>47</v>
      </c>
      <c r="C116" s="33" t="s">
        <v>427</v>
      </c>
      <c r="D116" s="34" t="n">
        <v>1</v>
      </c>
      <c r="E116" s="32" t="s">
        <v>945</v>
      </c>
      <c r="F116" s="32" t="s">
        <v>946</v>
      </c>
      <c r="G116" s="32" t="s">
        <v>947</v>
      </c>
      <c r="H116" s="32"/>
      <c r="I116" s="35" t="s">
        <v>37</v>
      </c>
      <c r="J116" s="32"/>
    </row>
    <row r="117" customFormat="false" ht="15" hidden="false" customHeight="false" outlineLevel="0" collapsed="false">
      <c r="A117" s="27"/>
      <c r="B117" s="27"/>
      <c r="C117" s="27"/>
      <c r="D117" s="36" t="n">
        <v>2</v>
      </c>
      <c r="E117" s="27" t="s">
        <v>948</v>
      </c>
      <c r="F117" s="27" t="s">
        <v>684</v>
      </c>
      <c r="G117" s="27" t="s">
        <v>949</v>
      </c>
      <c r="H117" s="27"/>
      <c r="I117" s="28" t="s">
        <v>37</v>
      </c>
      <c r="J117" s="27"/>
    </row>
    <row r="118" customFormat="false" ht="15" hidden="false" customHeight="false" outlineLevel="0" collapsed="false">
      <c r="A118" s="31" t="s">
        <v>431</v>
      </c>
      <c r="B118" s="32" t="s">
        <v>47</v>
      </c>
      <c r="C118" s="33" t="s">
        <v>433</v>
      </c>
      <c r="D118" s="34" t="n">
        <v>1</v>
      </c>
      <c r="E118" s="32" t="s">
        <v>950</v>
      </c>
      <c r="F118" s="32" t="s">
        <v>951</v>
      </c>
      <c r="G118" s="32" t="s">
        <v>952</v>
      </c>
      <c r="H118" s="32"/>
      <c r="I118" s="35" t="s">
        <v>37</v>
      </c>
      <c r="J118" s="32"/>
    </row>
    <row r="119" customFormat="false" ht="15" hidden="false" customHeight="false" outlineLevel="0" collapsed="false">
      <c r="A119" s="27"/>
      <c r="B119" s="27"/>
      <c r="C119" s="27"/>
      <c r="D119" s="36" t="n">
        <v>2</v>
      </c>
      <c r="E119" s="27" t="s">
        <v>953</v>
      </c>
      <c r="F119" s="27" t="s">
        <v>684</v>
      </c>
      <c r="G119" s="27" t="s">
        <v>954</v>
      </c>
      <c r="H119" s="27"/>
      <c r="I119" s="28" t="s">
        <v>37</v>
      </c>
      <c r="J119" s="27"/>
    </row>
    <row r="120" customFormat="false" ht="15" hidden="false" customHeight="false" outlineLevel="0" collapsed="false">
      <c r="A120" s="31" t="s">
        <v>437</v>
      </c>
      <c r="B120" s="32" t="s">
        <v>48</v>
      </c>
      <c r="C120" s="33" t="s">
        <v>438</v>
      </c>
      <c r="D120" s="34" t="n">
        <v>1</v>
      </c>
      <c r="E120" s="32" t="s">
        <v>955</v>
      </c>
      <c r="F120" s="32" t="s">
        <v>684</v>
      </c>
      <c r="G120" s="32" t="s">
        <v>956</v>
      </c>
      <c r="H120" s="32"/>
      <c r="I120" s="35" t="s">
        <v>37</v>
      </c>
      <c r="J120" s="32"/>
    </row>
    <row r="121" customFormat="false" ht="15" hidden="false" customHeight="false" outlineLevel="0" collapsed="false">
      <c r="A121" s="31" t="s">
        <v>443</v>
      </c>
      <c r="B121" s="32" t="s">
        <v>48</v>
      </c>
      <c r="C121" s="33" t="s">
        <v>445</v>
      </c>
      <c r="D121" s="34" t="n">
        <v>1</v>
      </c>
      <c r="E121" s="32" t="s">
        <v>957</v>
      </c>
      <c r="F121" s="32" t="s">
        <v>684</v>
      </c>
      <c r="G121" s="32" t="s">
        <v>958</v>
      </c>
      <c r="H121" s="32"/>
      <c r="I121" s="35" t="s">
        <v>37</v>
      </c>
      <c r="J121" s="32"/>
    </row>
    <row r="122" customFormat="false" ht="15" hidden="false" customHeight="false" outlineLevel="0" collapsed="false">
      <c r="A122" s="27"/>
      <c r="B122" s="27"/>
      <c r="C122" s="27"/>
      <c r="D122" s="36" t="n">
        <v>2</v>
      </c>
      <c r="E122" s="27" t="s">
        <v>959</v>
      </c>
      <c r="F122" s="27" t="s">
        <v>960</v>
      </c>
      <c r="G122" s="27" t="s">
        <v>961</v>
      </c>
      <c r="H122" s="27"/>
      <c r="I122" s="28" t="s">
        <v>37</v>
      </c>
      <c r="J122" s="27"/>
    </row>
    <row r="123" customFormat="false" ht="15" hidden="false" customHeight="false" outlineLevel="0" collapsed="false">
      <c r="A123" s="31" t="s">
        <v>449</v>
      </c>
      <c r="B123" s="32" t="s">
        <v>48</v>
      </c>
      <c r="C123" s="33" t="s">
        <v>451</v>
      </c>
      <c r="D123" s="34" t="n">
        <v>1</v>
      </c>
      <c r="E123" s="32" t="s">
        <v>962</v>
      </c>
      <c r="F123" s="32" t="s">
        <v>684</v>
      </c>
      <c r="G123" s="32" t="s">
        <v>963</v>
      </c>
      <c r="H123" s="32"/>
      <c r="I123" s="35" t="s">
        <v>37</v>
      </c>
      <c r="J123" s="32"/>
    </row>
    <row r="124" customFormat="false" ht="15" hidden="false" customHeight="false" outlineLevel="0" collapsed="false">
      <c r="A124" s="27"/>
      <c r="B124" s="27"/>
      <c r="C124" s="27"/>
      <c r="D124" s="36" t="n">
        <v>2</v>
      </c>
      <c r="E124" s="27" t="s">
        <v>964</v>
      </c>
      <c r="F124" s="27" t="s">
        <v>684</v>
      </c>
      <c r="G124" s="27" t="s">
        <v>965</v>
      </c>
      <c r="H124" s="27"/>
      <c r="I124" s="28" t="s">
        <v>37</v>
      </c>
      <c r="J124" s="27"/>
    </row>
    <row r="125" customFormat="false" ht="15" hidden="false" customHeight="false" outlineLevel="0" collapsed="false">
      <c r="A125" s="31" t="s">
        <v>455</v>
      </c>
      <c r="B125" s="32" t="s">
        <v>48</v>
      </c>
      <c r="C125" s="33" t="s">
        <v>457</v>
      </c>
      <c r="D125" s="34" t="n">
        <v>1</v>
      </c>
      <c r="E125" s="32" t="s">
        <v>966</v>
      </c>
      <c r="F125" s="32" t="s">
        <v>967</v>
      </c>
      <c r="G125" s="32" t="s">
        <v>968</v>
      </c>
      <c r="H125" s="32"/>
      <c r="I125" s="35" t="s">
        <v>37</v>
      </c>
      <c r="J125" s="32"/>
    </row>
    <row r="126" customFormat="false" ht="15" hidden="false" customHeight="false" outlineLevel="0" collapsed="false">
      <c r="A126" s="27"/>
      <c r="B126" s="27"/>
      <c r="C126" s="27"/>
      <c r="D126" s="36" t="n">
        <v>2</v>
      </c>
      <c r="E126" s="27" t="s">
        <v>969</v>
      </c>
      <c r="F126" s="27" t="s">
        <v>970</v>
      </c>
      <c r="G126" s="27" t="s">
        <v>971</v>
      </c>
      <c r="H126" s="27"/>
      <c r="I126" s="28" t="s">
        <v>37</v>
      </c>
      <c r="J126" s="27"/>
    </row>
    <row r="127" customFormat="false" ht="15" hidden="false" customHeight="false" outlineLevel="0" collapsed="false">
      <c r="A127" s="31" t="s">
        <v>461</v>
      </c>
      <c r="B127" s="32" t="s">
        <v>48</v>
      </c>
      <c r="C127" s="33" t="s">
        <v>463</v>
      </c>
      <c r="D127" s="34" t="n">
        <v>1</v>
      </c>
      <c r="E127" s="32" t="s">
        <v>972</v>
      </c>
      <c r="F127" s="32" t="s">
        <v>973</v>
      </c>
      <c r="G127" s="32" t="s">
        <v>752</v>
      </c>
      <c r="H127" s="32"/>
      <c r="I127" s="35" t="s">
        <v>37</v>
      </c>
      <c r="J127" s="32"/>
    </row>
    <row r="128" customFormat="false" ht="15" hidden="false" customHeight="false" outlineLevel="0" collapsed="false">
      <c r="A128" s="27"/>
      <c r="B128" s="27"/>
      <c r="C128" s="27"/>
      <c r="D128" s="36" t="n">
        <v>2</v>
      </c>
      <c r="E128" s="27" t="s">
        <v>974</v>
      </c>
      <c r="F128" s="27" t="s">
        <v>684</v>
      </c>
      <c r="G128" s="27" t="s">
        <v>975</v>
      </c>
      <c r="H128" s="27"/>
      <c r="I128" s="28" t="s">
        <v>37</v>
      </c>
      <c r="J128" s="27"/>
    </row>
    <row r="129" customFormat="false" ht="15" hidden="false" customHeight="false" outlineLevel="0" collapsed="false">
      <c r="A129" s="31" t="s">
        <v>467</v>
      </c>
      <c r="B129" s="32" t="s">
        <v>49</v>
      </c>
      <c r="C129" s="33" t="s">
        <v>469</v>
      </c>
      <c r="D129" s="34" t="n">
        <v>1</v>
      </c>
      <c r="E129" s="32" t="s">
        <v>976</v>
      </c>
      <c r="F129" s="32" t="s">
        <v>684</v>
      </c>
      <c r="G129" s="32" t="s">
        <v>977</v>
      </c>
      <c r="H129" s="32"/>
      <c r="I129" s="35" t="s">
        <v>37</v>
      </c>
      <c r="J129" s="32"/>
    </row>
    <row r="130" customFormat="false" ht="15" hidden="false" customHeight="false" outlineLevel="0" collapsed="false">
      <c r="A130" s="27"/>
      <c r="B130" s="27"/>
      <c r="C130" s="27"/>
      <c r="D130" s="36" t="n">
        <v>2</v>
      </c>
      <c r="E130" s="27" t="s">
        <v>978</v>
      </c>
      <c r="F130" s="27" t="s">
        <v>684</v>
      </c>
      <c r="G130" s="27" t="s">
        <v>979</v>
      </c>
      <c r="H130" s="27"/>
      <c r="I130" s="28" t="s">
        <v>37</v>
      </c>
      <c r="J130" s="27"/>
    </row>
    <row r="131" customFormat="false" ht="15" hidden="false" customHeight="false" outlineLevel="0" collapsed="false">
      <c r="A131" s="31" t="s">
        <v>474</v>
      </c>
      <c r="B131" s="32" t="s">
        <v>49</v>
      </c>
      <c r="C131" s="33" t="s">
        <v>476</v>
      </c>
      <c r="D131" s="34" t="n">
        <v>1</v>
      </c>
      <c r="E131" s="32" t="s">
        <v>980</v>
      </c>
      <c r="F131" s="32" t="s">
        <v>981</v>
      </c>
      <c r="G131" s="32" t="s">
        <v>982</v>
      </c>
      <c r="H131" s="32"/>
      <c r="I131" s="35" t="s">
        <v>37</v>
      </c>
      <c r="J131" s="32"/>
    </row>
    <row r="132" customFormat="false" ht="22.35" hidden="false" customHeight="false" outlineLevel="0" collapsed="false">
      <c r="A132" s="27"/>
      <c r="B132" s="27"/>
      <c r="C132" s="27"/>
      <c r="D132" s="36" t="n">
        <v>2</v>
      </c>
      <c r="E132" s="27" t="s">
        <v>983</v>
      </c>
      <c r="F132" s="27" t="s">
        <v>984</v>
      </c>
      <c r="G132" s="27" t="s">
        <v>985</v>
      </c>
      <c r="H132" s="27"/>
      <c r="I132" s="28" t="s">
        <v>37</v>
      </c>
      <c r="J132" s="27"/>
    </row>
    <row r="133" customFormat="false" ht="15" hidden="false" customHeight="false" outlineLevel="0" collapsed="false">
      <c r="A133" s="27"/>
      <c r="B133" s="27"/>
      <c r="C133" s="27"/>
      <c r="D133" s="36" t="n">
        <v>3</v>
      </c>
      <c r="E133" s="27" t="s">
        <v>986</v>
      </c>
      <c r="F133" s="27" t="s">
        <v>684</v>
      </c>
      <c r="G133" s="27" t="s">
        <v>987</v>
      </c>
      <c r="H133" s="27"/>
      <c r="I133" s="28" t="s">
        <v>37</v>
      </c>
      <c r="J133" s="27"/>
    </row>
    <row r="134" customFormat="false" ht="22.35" hidden="false" customHeight="false" outlineLevel="0" collapsed="false">
      <c r="A134" s="31" t="s">
        <v>480</v>
      </c>
      <c r="B134" s="32" t="s">
        <v>49</v>
      </c>
      <c r="C134" s="33" t="s">
        <v>482</v>
      </c>
      <c r="D134" s="34" t="n">
        <v>1</v>
      </c>
      <c r="E134" s="32" t="s">
        <v>988</v>
      </c>
      <c r="F134" s="32" t="s">
        <v>684</v>
      </c>
      <c r="G134" s="32" t="s">
        <v>989</v>
      </c>
      <c r="H134" s="32"/>
      <c r="I134" s="35" t="s">
        <v>37</v>
      </c>
      <c r="J134" s="32"/>
    </row>
    <row r="135" customFormat="false" ht="15" hidden="false" customHeight="false" outlineLevel="0" collapsed="false">
      <c r="A135" s="27"/>
      <c r="B135" s="27"/>
      <c r="C135" s="27"/>
      <c r="D135" s="36" t="n">
        <v>2</v>
      </c>
      <c r="E135" s="27" t="s">
        <v>990</v>
      </c>
      <c r="F135" s="27" t="s">
        <v>684</v>
      </c>
      <c r="G135" s="27" t="s">
        <v>991</v>
      </c>
      <c r="H135" s="27"/>
      <c r="I135" s="28" t="s">
        <v>37</v>
      </c>
      <c r="J135" s="27"/>
    </row>
    <row r="136" customFormat="false" ht="15" hidden="false" customHeight="false" outlineLevel="0" collapsed="false">
      <c r="A136" s="31" t="s">
        <v>486</v>
      </c>
      <c r="B136" s="32" t="s">
        <v>49</v>
      </c>
      <c r="C136" s="33" t="s">
        <v>487</v>
      </c>
      <c r="D136" s="34" t="n">
        <v>1</v>
      </c>
      <c r="E136" s="32" t="s">
        <v>992</v>
      </c>
      <c r="F136" s="32" t="s">
        <v>993</v>
      </c>
      <c r="G136" s="32" t="s">
        <v>994</v>
      </c>
      <c r="H136" s="32"/>
      <c r="I136" s="35" t="s">
        <v>37</v>
      </c>
      <c r="J136" s="32"/>
    </row>
    <row r="137" customFormat="false" ht="15" hidden="false" customHeight="false" outlineLevel="0" collapsed="false">
      <c r="A137" s="27"/>
      <c r="B137" s="27"/>
      <c r="C137" s="27"/>
      <c r="D137" s="36" t="n">
        <v>2</v>
      </c>
      <c r="E137" s="27" t="s">
        <v>995</v>
      </c>
      <c r="F137" s="27" t="s">
        <v>684</v>
      </c>
      <c r="G137" s="27" t="s">
        <v>996</v>
      </c>
      <c r="H137" s="27"/>
      <c r="I137" s="28" t="s">
        <v>37</v>
      </c>
      <c r="J137" s="27"/>
    </row>
    <row r="138" customFormat="false" ht="15" hidden="false" customHeight="false" outlineLevel="0" collapsed="false">
      <c r="A138" s="31" t="s">
        <v>492</v>
      </c>
      <c r="B138" s="32" t="s">
        <v>50</v>
      </c>
      <c r="C138" s="33" t="s">
        <v>494</v>
      </c>
      <c r="D138" s="34" t="n">
        <v>1</v>
      </c>
      <c r="E138" s="32" t="s">
        <v>997</v>
      </c>
      <c r="F138" s="32" t="s">
        <v>998</v>
      </c>
      <c r="G138" s="32" t="s">
        <v>999</v>
      </c>
      <c r="H138" s="32"/>
      <c r="I138" s="35" t="s">
        <v>37</v>
      </c>
      <c r="J138" s="32"/>
    </row>
    <row r="139" customFormat="false" ht="22.35" hidden="false" customHeight="false" outlineLevel="0" collapsed="false">
      <c r="A139" s="27"/>
      <c r="B139" s="27"/>
      <c r="C139" s="27"/>
      <c r="D139" s="36" t="n">
        <v>2</v>
      </c>
      <c r="E139" s="27" t="s">
        <v>1000</v>
      </c>
      <c r="F139" s="27" t="s">
        <v>684</v>
      </c>
      <c r="G139" s="27" t="s">
        <v>1001</v>
      </c>
      <c r="H139" s="27"/>
      <c r="I139" s="28" t="s">
        <v>37</v>
      </c>
      <c r="J139" s="27"/>
    </row>
    <row r="140" customFormat="false" ht="22.35" hidden="false" customHeight="false" outlineLevel="0" collapsed="false">
      <c r="A140" s="31" t="s">
        <v>499</v>
      </c>
      <c r="B140" s="32" t="s">
        <v>50</v>
      </c>
      <c r="C140" s="33" t="s">
        <v>501</v>
      </c>
      <c r="D140" s="34" t="n">
        <v>1</v>
      </c>
      <c r="E140" s="32" t="s">
        <v>1002</v>
      </c>
      <c r="F140" s="32" t="s">
        <v>684</v>
      </c>
      <c r="G140" s="32" t="s">
        <v>1003</v>
      </c>
      <c r="H140" s="32"/>
      <c r="I140" s="35" t="s">
        <v>37</v>
      </c>
      <c r="J140" s="32"/>
    </row>
    <row r="141" customFormat="false" ht="15" hidden="false" customHeight="false" outlineLevel="0" collapsed="false">
      <c r="A141" s="27"/>
      <c r="B141" s="27"/>
      <c r="C141" s="27"/>
      <c r="D141" s="36" t="n">
        <v>2</v>
      </c>
      <c r="E141" s="27" t="s">
        <v>923</v>
      </c>
      <c r="F141" s="27" t="s">
        <v>684</v>
      </c>
      <c r="G141" s="27" t="s">
        <v>1004</v>
      </c>
      <c r="H141" s="27"/>
      <c r="I141" s="28" t="s">
        <v>37</v>
      </c>
      <c r="J141" s="27"/>
    </row>
    <row r="142" customFormat="false" ht="15" hidden="false" customHeight="false" outlineLevel="0" collapsed="false">
      <c r="A142" s="31" t="s">
        <v>505</v>
      </c>
      <c r="B142" s="32" t="s">
        <v>50</v>
      </c>
      <c r="C142" s="33" t="s">
        <v>506</v>
      </c>
      <c r="D142" s="34" t="n">
        <v>1</v>
      </c>
      <c r="E142" s="32" t="s">
        <v>1005</v>
      </c>
      <c r="F142" s="32" t="s">
        <v>684</v>
      </c>
      <c r="G142" s="32" t="s">
        <v>1006</v>
      </c>
      <c r="H142" s="32"/>
      <c r="I142" s="35" t="s">
        <v>37</v>
      </c>
      <c r="J142" s="32"/>
    </row>
    <row r="143" customFormat="false" ht="15" hidden="false" customHeight="false" outlineLevel="0" collapsed="false">
      <c r="A143" s="27"/>
      <c r="B143" s="27"/>
      <c r="C143" s="27"/>
      <c r="D143" s="36" t="n">
        <v>2</v>
      </c>
      <c r="E143" s="27" t="s">
        <v>1007</v>
      </c>
      <c r="F143" s="27" t="s">
        <v>684</v>
      </c>
      <c r="G143" s="27" t="s">
        <v>1008</v>
      </c>
      <c r="H143" s="27"/>
      <c r="I143" s="28" t="s">
        <v>37</v>
      </c>
      <c r="J143" s="27"/>
    </row>
    <row r="144" customFormat="false" ht="15" hidden="false" customHeight="false" outlineLevel="0" collapsed="false">
      <c r="A144" s="31" t="s">
        <v>509</v>
      </c>
      <c r="B144" s="32" t="s">
        <v>50</v>
      </c>
      <c r="C144" s="33" t="s">
        <v>510</v>
      </c>
      <c r="D144" s="34" t="n">
        <v>1</v>
      </c>
      <c r="E144" s="32" t="s">
        <v>1009</v>
      </c>
      <c r="F144" s="32" t="s">
        <v>1010</v>
      </c>
      <c r="G144" s="32" t="s">
        <v>1011</v>
      </c>
      <c r="H144" s="32"/>
      <c r="I144" s="35" t="s">
        <v>37</v>
      </c>
      <c r="J144" s="32"/>
    </row>
    <row r="145" customFormat="false" ht="15" hidden="false" customHeight="false" outlineLevel="0" collapsed="false">
      <c r="A145" s="27"/>
      <c r="B145" s="27"/>
      <c r="C145" s="27"/>
      <c r="D145" s="36" t="n">
        <v>2</v>
      </c>
      <c r="E145" s="27" t="s">
        <v>795</v>
      </c>
      <c r="F145" s="27" t="s">
        <v>684</v>
      </c>
      <c r="G145" s="27" t="s">
        <v>1012</v>
      </c>
      <c r="H145" s="27"/>
      <c r="I145" s="28" t="s">
        <v>37</v>
      </c>
      <c r="J145" s="27"/>
    </row>
    <row r="146" customFormat="false" ht="15" hidden="false" customHeight="false" outlineLevel="0" collapsed="false">
      <c r="A146" s="31" t="s">
        <v>512</v>
      </c>
      <c r="B146" s="32" t="s">
        <v>50</v>
      </c>
      <c r="C146" s="33" t="s">
        <v>514</v>
      </c>
      <c r="D146" s="34" t="n">
        <v>1</v>
      </c>
      <c r="E146" s="32" t="s">
        <v>1013</v>
      </c>
      <c r="F146" s="32" t="s">
        <v>684</v>
      </c>
      <c r="G146" s="32" t="s">
        <v>1014</v>
      </c>
      <c r="H146" s="32"/>
      <c r="I146" s="35" t="s">
        <v>37</v>
      </c>
      <c r="J146" s="32"/>
    </row>
    <row r="147" customFormat="false" ht="22.35" hidden="false" customHeight="false" outlineLevel="0" collapsed="false">
      <c r="A147" s="31" t="s">
        <v>517</v>
      </c>
      <c r="B147" s="32" t="s">
        <v>50</v>
      </c>
      <c r="C147" s="33" t="s">
        <v>519</v>
      </c>
      <c r="D147" s="34" t="n">
        <v>1</v>
      </c>
      <c r="E147" s="32" t="s">
        <v>1015</v>
      </c>
      <c r="F147" s="32" t="s">
        <v>967</v>
      </c>
      <c r="G147" s="32" t="s">
        <v>1016</v>
      </c>
      <c r="H147" s="32"/>
      <c r="I147" s="35" t="s">
        <v>37</v>
      </c>
      <c r="J147" s="32"/>
    </row>
    <row r="148" customFormat="false" ht="15" hidden="false" customHeight="false" outlineLevel="0" collapsed="false">
      <c r="A148" s="27"/>
      <c r="B148" s="27"/>
      <c r="C148" s="27"/>
      <c r="D148" s="36" t="n">
        <v>2</v>
      </c>
      <c r="E148" s="27" t="s">
        <v>1017</v>
      </c>
      <c r="F148" s="27" t="s">
        <v>1018</v>
      </c>
      <c r="G148" s="27" t="s">
        <v>1019</v>
      </c>
      <c r="H148" s="27"/>
      <c r="I148" s="28" t="s">
        <v>37</v>
      </c>
      <c r="J148" s="27"/>
    </row>
    <row r="149" customFormat="false" ht="15" hidden="false" customHeight="false" outlineLevel="0" collapsed="false">
      <c r="A149" s="31" t="s">
        <v>522</v>
      </c>
      <c r="B149" s="32" t="s">
        <v>50</v>
      </c>
      <c r="C149" s="33" t="s">
        <v>524</v>
      </c>
      <c r="D149" s="34" t="n">
        <v>1</v>
      </c>
      <c r="E149" s="32" t="s">
        <v>1020</v>
      </c>
      <c r="F149" s="32" t="s">
        <v>684</v>
      </c>
      <c r="G149" s="32" t="s">
        <v>1021</v>
      </c>
      <c r="H149" s="32"/>
      <c r="I149" s="35" t="s">
        <v>37</v>
      </c>
      <c r="J149" s="32"/>
    </row>
    <row r="150" customFormat="false" ht="15" hidden="false" customHeight="false" outlineLevel="0" collapsed="false">
      <c r="A150" s="27"/>
      <c r="B150" s="27"/>
      <c r="C150" s="27"/>
      <c r="D150" s="36" t="n">
        <v>2</v>
      </c>
      <c r="E150" s="27" t="s">
        <v>1022</v>
      </c>
      <c r="F150" s="27" t="s">
        <v>1023</v>
      </c>
      <c r="G150" s="27" t="s">
        <v>1024</v>
      </c>
      <c r="H150" s="27"/>
      <c r="I150" s="28" t="s">
        <v>37</v>
      </c>
      <c r="J150" s="27"/>
    </row>
    <row r="151" customFormat="false" ht="15" hidden="false" customHeight="false" outlineLevel="0" collapsed="false">
      <c r="A151" s="31" t="s">
        <v>527</v>
      </c>
      <c r="B151" s="32" t="s">
        <v>51</v>
      </c>
      <c r="C151" s="33" t="s">
        <v>528</v>
      </c>
      <c r="D151" s="34" t="n">
        <v>1</v>
      </c>
      <c r="E151" s="32" t="s">
        <v>1025</v>
      </c>
      <c r="F151" s="32" t="s">
        <v>684</v>
      </c>
      <c r="G151" s="32" t="s">
        <v>1026</v>
      </c>
      <c r="H151" s="32"/>
      <c r="I151" s="35" t="s">
        <v>37</v>
      </c>
      <c r="J151" s="32"/>
    </row>
    <row r="152" customFormat="false" ht="15" hidden="false" customHeight="false" outlineLevel="0" collapsed="false">
      <c r="A152" s="31" t="s">
        <v>533</v>
      </c>
      <c r="B152" s="32" t="s">
        <v>51</v>
      </c>
      <c r="C152" s="33" t="s">
        <v>535</v>
      </c>
      <c r="D152" s="34" t="n">
        <v>1</v>
      </c>
      <c r="E152" s="32" t="s">
        <v>1027</v>
      </c>
      <c r="F152" s="32" t="s">
        <v>684</v>
      </c>
      <c r="G152" s="32" t="s">
        <v>1028</v>
      </c>
      <c r="H152" s="32"/>
      <c r="I152" s="35" t="s">
        <v>37</v>
      </c>
      <c r="J152" s="32"/>
    </row>
    <row r="153" customFormat="false" ht="15" hidden="false" customHeight="false" outlineLevel="0" collapsed="false">
      <c r="A153" s="31" t="s">
        <v>538</v>
      </c>
      <c r="B153" s="32" t="s">
        <v>51</v>
      </c>
      <c r="C153" s="33" t="s">
        <v>540</v>
      </c>
      <c r="D153" s="34" t="n">
        <v>1</v>
      </c>
      <c r="E153" s="32" t="s">
        <v>1029</v>
      </c>
      <c r="F153" s="32" t="s">
        <v>684</v>
      </c>
      <c r="G153" s="32" t="s">
        <v>1030</v>
      </c>
      <c r="H153" s="32"/>
      <c r="I153" s="35" t="s">
        <v>37</v>
      </c>
      <c r="J153" s="32"/>
    </row>
    <row r="154" customFormat="false" ht="15" hidden="false" customHeight="false" outlineLevel="0" collapsed="false">
      <c r="A154" s="31" t="s">
        <v>544</v>
      </c>
      <c r="B154" s="32" t="s">
        <v>51</v>
      </c>
      <c r="C154" s="33" t="s">
        <v>546</v>
      </c>
      <c r="D154" s="34" t="n">
        <v>1</v>
      </c>
      <c r="E154" s="32" t="s">
        <v>1031</v>
      </c>
      <c r="F154" s="32" t="s">
        <v>684</v>
      </c>
      <c r="G154" s="32" t="s">
        <v>1032</v>
      </c>
      <c r="H154" s="32"/>
      <c r="I154" s="35" t="s">
        <v>37</v>
      </c>
      <c r="J154" s="32"/>
    </row>
    <row r="155" customFormat="false" ht="15" hidden="false" customHeight="false" outlineLevel="0" collapsed="false">
      <c r="A155" s="27"/>
      <c r="B155" s="27"/>
      <c r="C155" s="27"/>
      <c r="D155" s="36" t="n">
        <v>2</v>
      </c>
      <c r="E155" s="27" t="s">
        <v>1033</v>
      </c>
      <c r="F155" s="27" t="s">
        <v>1034</v>
      </c>
      <c r="G155" s="27" t="s">
        <v>1035</v>
      </c>
      <c r="H155" s="27"/>
      <c r="I155" s="28" t="s">
        <v>37</v>
      </c>
      <c r="J155" s="27"/>
    </row>
    <row r="156" customFormat="false" ht="15" hidden="false" customHeight="false" outlineLevel="0" collapsed="false">
      <c r="A156" s="31" t="s">
        <v>550</v>
      </c>
      <c r="B156" s="32" t="s">
        <v>51</v>
      </c>
      <c r="C156" s="33" t="s">
        <v>551</v>
      </c>
      <c r="D156" s="34" t="n">
        <v>1</v>
      </c>
      <c r="E156" s="32" t="s">
        <v>1036</v>
      </c>
      <c r="F156" s="32" t="s">
        <v>684</v>
      </c>
      <c r="G156" s="32" t="s">
        <v>1037</v>
      </c>
      <c r="H156" s="32"/>
      <c r="I156" s="35" t="s">
        <v>37</v>
      </c>
      <c r="J156" s="32"/>
    </row>
    <row r="157" customFormat="false" ht="22.35" hidden="false" customHeight="false" outlineLevel="0" collapsed="false">
      <c r="A157" s="31" t="s">
        <v>554</v>
      </c>
      <c r="B157" s="32" t="s">
        <v>52</v>
      </c>
      <c r="C157" s="33" t="s">
        <v>555</v>
      </c>
      <c r="D157" s="34" t="n">
        <v>1</v>
      </c>
      <c r="E157" s="32" t="s">
        <v>1038</v>
      </c>
      <c r="F157" s="32" t="s">
        <v>684</v>
      </c>
      <c r="G157" s="32" t="s">
        <v>1039</v>
      </c>
      <c r="H157" s="32"/>
      <c r="I157" s="35" t="s">
        <v>37</v>
      </c>
      <c r="J157" s="32"/>
    </row>
    <row r="158" customFormat="false" ht="15" hidden="false" customHeight="false" outlineLevel="0" collapsed="false">
      <c r="A158" s="27"/>
      <c r="B158" s="27"/>
      <c r="C158" s="27"/>
      <c r="D158" s="36" t="n">
        <v>2</v>
      </c>
      <c r="E158" s="27" t="s">
        <v>1040</v>
      </c>
      <c r="F158" s="27" t="s">
        <v>684</v>
      </c>
      <c r="G158" s="27" t="s">
        <v>1041</v>
      </c>
      <c r="H158" s="27"/>
      <c r="I158" s="28" t="s">
        <v>37</v>
      </c>
      <c r="J158" s="27"/>
    </row>
    <row r="159" customFormat="false" ht="22.35" hidden="false" customHeight="false" outlineLevel="0" collapsed="false">
      <c r="A159" s="31" t="s">
        <v>560</v>
      </c>
      <c r="B159" s="32" t="s">
        <v>52</v>
      </c>
      <c r="C159" s="33" t="s">
        <v>562</v>
      </c>
      <c r="D159" s="34" t="n">
        <v>1</v>
      </c>
      <c r="E159" s="32" t="s">
        <v>1042</v>
      </c>
      <c r="F159" s="32" t="s">
        <v>684</v>
      </c>
      <c r="G159" s="32" t="s">
        <v>1043</v>
      </c>
      <c r="H159" s="32"/>
      <c r="I159" s="35" t="s">
        <v>37</v>
      </c>
      <c r="J159" s="32"/>
    </row>
    <row r="160" customFormat="false" ht="15" hidden="false" customHeight="false" outlineLevel="0" collapsed="false">
      <c r="A160" s="27"/>
      <c r="B160" s="27"/>
      <c r="C160" s="27"/>
      <c r="D160" s="36" t="n">
        <v>2</v>
      </c>
      <c r="E160" s="27" t="s">
        <v>1044</v>
      </c>
      <c r="F160" s="27" t="s">
        <v>1045</v>
      </c>
      <c r="G160" s="27" t="s">
        <v>1046</v>
      </c>
      <c r="H160" s="27"/>
      <c r="I160" s="28" t="s">
        <v>37</v>
      </c>
      <c r="J160" s="27"/>
    </row>
    <row r="161" customFormat="false" ht="22.35" hidden="false" customHeight="false" outlineLevel="0" collapsed="false">
      <c r="A161" s="31" t="s">
        <v>567</v>
      </c>
      <c r="B161" s="32" t="s">
        <v>52</v>
      </c>
      <c r="C161" s="33" t="s">
        <v>569</v>
      </c>
      <c r="D161" s="34" t="n">
        <v>1</v>
      </c>
      <c r="E161" s="32" t="s">
        <v>1047</v>
      </c>
      <c r="F161" s="32" t="s">
        <v>684</v>
      </c>
      <c r="G161" s="32" t="s">
        <v>1048</v>
      </c>
      <c r="H161" s="32"/>
      <c r="I161" s="35" t="s">
        <v>37</v>
      </c>
      <c r="J161" s="32"/>
    </row>
    <row r="162" customFormat="false" ht="15" hidden="false" customHeight="false" outlineLevel="0" collapsed="false">
      <c r="A162" s="27"/>
      <c r="B162" s="27"/>
      <c r="C162" s="27"/>
      <c r="D162" s="36" t="n">
        <v>2</v>
      </c>
      <c r="E162" s="27" t="s">
        <v>1049</v>
      </c>
      <c r="F162" s="27" t="s">
        <v>1050</v>
      </c>
      <c r="G162" s="27" t="s">
        <v>1051</v>
      </c>
      <c r="H162" s="27"/>
      <c r="I162" s="28" t="s">
        <v>37</v>
      </c>
      <c r="J162" s="27"/>
    </row>
    <row r="163" customFormat="false" ht="22.35" hidden="false" customHeight="false" outlineLevel="0" collapsed="false">
      <c r="A163" s="31" t="s">
        <v>573</v>
      </c>
      <c r="B163" s="32" t="s">
        <v>52</v>
      </c>
      <c r="C163" s="33" t="s">
        <v>575</v>
      </c>
      <c r="D163" s="34" t="n">
        <v>1</v>
      </c>
      <c r="E163" s="32" t="s">
        <v>1052</v>
      </c>
      <c r="F163" s="32" t="s">
        <v>684</v>
      </c>
      <c r="G163" s="32" t="s">
        <v>1053</v>
      </c>
      <c r="H163" s="32"/>
      <c r="I163" s="35" t="s">
        <v>37</v>
      </c>
      <c r="J163" s="32"/>
    </row>
    <row r="164" customFormat="false" ht="15" hidden="false" customHeight="false" outlineLevel="0" collapsed="false">
      <c r="A164" s="27"/>
      <c r="B164" s="27"/>
      <c r="C164" s="27"/>
      <c r="D164" s="36" t="n">
        <v>2</v>
      </c>
      <c r="E164" s="27" t="s">
        <v>1054</v>
      </c>
      <c r="F164" s="27" t="s">
        <v>684</v>
      </c>
      <c r="G164" s="27" t="s">
        <v>1055</v>
      </c>
      <c r="H164" s="27"/>
      <c r="I164" s="28" t="s">
        <v>37</v>
      </c>
      <c r="J164" s="27"/>
    </row>
    <row r="165" customFormat="false" ht="15" hidden="false" customHeight="false" outlineLevel="0" collapsed="false">
      <c r="A165" s="31" t="s">
        <v>579</v>
      </c>
      <c r="B165" s="32" t="s">
        <v>53</v>
      </c>
      <c r="C165" s="33" t="s">
        <v>581</v>
      </c>
      <c r="D165" s="34" t="n">
        <v>1</v>
      </c>
      <c r="E165" s="32" t="s">
        <v>1056</v>
      </c>
      <c r="F165" s="32" t="s">
        <v>1057</v>
      </c>
      <c r="G165" s="32" t="s">
        <v>752</v>
      </c>
      <c r="H165" s="32"/>
      <c r="I165" s="35" t="s">
        <v>37</v>
      </c>
      <c r="J165" s="32"/>
    </row>
    <row r="166" customFormat="false" ht="15" hidden="false" customHeight="false" outlineLevel="0" collapsed="false">
      <c r="A166" s="27"/>
      <c r="B166" s="27"/>
      <c r="C166" s="27"/>
      <c r="D166" s="36" t="n">
        <v>2</v>
      </c>
      <c r="E166" s="27" t="s">
        <v>1058</v>
      </c>
      <c r="F166" s="27" t="s">
        <v>684</v>
      </c>
      <c r="G166" s="27" t="s">
        <v>1059</v>
      </c>
      <c r="H166" s="27"/>
      <c r="I166" s="28" t="s">
        <v>37</v>
      </c>
      <c r="J166" s="27"/>
    </row>
    <row r="167" customFormat="false" ht="15" hidden="false" customHeight="false" outlineLevel="0" collapsed="false">
      <c r="A167" s="31" t="s">
        <v>584</v>
      </c>
      <c r="B167" s="32" t="s">
        <v>53</v>
      </c>
      <c r="C167" s="33" t="s">
        <v>586</v>
      </c>
      <c r="D167" s="34" t="n">
        <v>1</v>
      </c>
      <c r="E167" s="32" t="s">
        <v>1060</v>
      </c>
      <c r="F167" s="32" t="s">
        <v>935</v>
      </c>
      <c r="G167" s="32" t="s">
        <v>1061</v>
      </c>
      <c r="H167" s="32"/>
      <c r="I167" s="35" t="s">
        <v>37</v>
      </c>
      <c r="J167" s="32"/>
    </row>
    <row r="168" customFormat="false" ht="15" hidden="false" customHeight="false" outlineLevel="0" collapsed="false">
      <c r="A168" s="31" t="s">
        <v>591</v>
      </c>
      <c r="B168" s="32" t="s">
        <v>53</v>
      </c>
      <c r="C168" s="33" t="s">
        <v>593</v>
      </c>
      <c r="D168" s="34" t="n">
        <v>1</v>
      </c>
      <c r="E168" s="32" t="s">
        <v>1062</v>
      </c>
      <c r="F168" s="32" t="s">
        <v>935</v>
      </c>
      <c r="G168" s="32" t="s">
        <v>1063</v>
      </c>
      <c r="H168" s="32"/>
      <c r="I168" s="35" t="s">
        <v>37</v>
      </c>
      <c r="J168" s="32"/>
    </row>
    <row r="169" customFormat="false" ht="15" hidden="false" customHeight="false" outlineLevel="0" collapsed="false">
      <c r="A169" s="31" t="s">
        <v>597</v>
      </c>
      <c r="B169" s="32" t="s">
        <v>54</v>
      </c>
      <c r="C169" s="33" t="s">
        <v>599</v>
      </c>
      <c r="D169" s="34" t="n">
        <v>1</v>
      </c>
      <c r="E169" s="32" t="s">
        <v>1064</v>
      </c>
      <c r="F169" s="32" t="s">
        <v>684</v>
      </c>
      <c r="G169" s="32" t="s">
        <v>1065</v>
      </c>
      <c r="H169" s="32"/>
      <c r="I169" s="35" t="s">
        <v>37</v>
      </c>
      <c r="J169" s="32"/>
    </row>
    <row r="170" customFormat="false" ht="15" hidden="false" customHeight="false" outlineLevel="0" collapsed="false">
      <c r="A170" s="27"/>
      <c r="B170" s="27"/>
      <c r="C170" s="27"/>
      <c r="D170" s="36" t="n">
        <v>2</v>
      </c>
      <c r="E170" s="27" t="s">
        <v>1066</v>
      </c>
      <c r="F170" s="27" t="s">
        <v>684</v>
      </c>
      <c r="G170" s="27" t="s">
        <v>1067</v>
      </c>
      <c r="H170" s="27"/>
      <c r="I170" s="28" t="s">
        <v>37</v>
      </c>
      <c r="J170" s="27"/>
    </row>
    <row r="171" customFormat="false" ht="15" hidden="false" customHeight="false" outlineLevel="0" collapsed="false">
      <c r="A171" s="31" t="s">
        <v>604</v>
      </c>
      <c r="B171" s="32" t="s">
        <v>54</v>
      </c>
      <c r="C171" s="33" t="s">
        <v>605</v>
      </c>
      <c r="D171" s="34" t="n">
        <v>1</v>
      </c>
      <c r="E171" s="32" t="s">
        <v>1068</v>
      </c>
      <c r="F171" s="32" t="s">
        <v>790</v>
      </c>
      <c r="G171" s="32" t="s">
        <v>1069</v>
      </c>
      <c r="H171" s="32"/>
      <c r="I171" s="35" t="s">
        <v>37</v>
      </c>
      <c r="J171" s="32"/>
    </row>
    <row r="172" customFormat="false" ht="15" hidden="false" customHeight="false" outlineLevel="0" collapsed="false">
      <c r="A172" s="31" t="s">
        <v>610</v>
      </c>
      <c r="B172" s="32" t="s">
        <v>54</v>
      </c>
      <c r="C172" s="33" t="s">
        <v>611</v>
      </c>
      <c r="D172" s="34" t="n">
        <v>1</v>
      </c>
      <c r="E172" s="32" t="s">
        <v>1070</v>
      </c>
      <c r="F172" s="32" t="s">
        <v>1071</v>
      </c>
      <c r="G172" s="32" t="s">
        <v>1072</v>
      </c>
      <c r="H172" s="32"/>
      <c r="I172" s="35" t="s">
        <v>37</v>
      </c>
      <c r="J172" s="32"/>
    </row>
    <row r="173" customFormat="false" ht="15" hidden="false" customHeight="false" outlineLevel="0" collapsed="false">
      <c r="A173" s="31" t="s">
        <v>615</v>
      </c>
      <c r="B173" s="32" t="s">
        <v>55</v>
      </c>
      <c r="C173" s="33" t="s">
        <v>617</v>
      </c>
      <c r="D173" s="34" t="n">
        <v>1</v>
      </c>
      <c r="E173" s="32" t="s">
        <v>1073</v>
      </c>
      <c r="F173" s="32" t="s">
        <v>1074</v>
      </c>
      <c r="G173" s="32" t="s">
        <v>1075</v>
      </c>
      <c r="H173" s="32"/>
      <c r="I173" s="35" t="s">
        <v>37</v>
      </c>
      <c r="J173" s="32"/>
    </row>
    <row r="174" customFormat="false" ht="15" hidden="false" customHeight="false" outlineLevel="0" collapsed="false">
      <c r="A174" s="27"/>
      <c r="B174" s="27"/>
      <c r="C174" s="27"/>
      <c r="D174" s="36" t="n">
        <v>2</v>
      </c>
      <c r="E174" s="27" t="s">
        <v>1076</v>
      </c>
      <c r="F174" s="27" t="s">
        <v>684</v>
      </c>
      <c r="G174" s="27" t="s">
        <v>1077</v>
      </c>
      <c r="H174" s="27"/>
      <c r="I174" s="28" t="s">
        <v>37</v>
      </c>
      <c r="J174" s="27"/>
    </row>
    <row r="175" customFormat="false" ht="15" hidden="false" customHeight="false" outlineLevel="0" collapsed="false">
      <c r="A175" s="31" t="s">
        <v>622</v>
      </c>
      <c r="B175" s="32" t="s">
        <v>55</v>
      </c>
      <c r="C175" s="33" t="s">
        <v>624</v>
      </c>
      <c r="D175" s="34" t="n">
        <v>1</v>
      </c>
      <c r="E175" s="32" t="s">
        <v>1078</v>
      </c>
      <c r="F175" s="32" t="s">
        <v>1079</v>
      </c>
      <c r="G175" s="32" t="s">
        <v>1080</v>
      </c>
      <c r="H175" s="32"/>
      <c r="I175" s="35" t="s">
        <v>37</v>
      </c>
      <c r="J175" s="32"/>
    </row>
    <row r="176" customFormat="false" ht="15" hidden="false" customHeight="false" outlineLevel="0" collapsed="false">
      <c r="A176" s="27"/>
      <c r="B176" s="27"/>
      <c r="C176" s="27"/>
      <c r="D176" s="36" t="n">
        <v>2</v>
      </c>
      <c r="E176" s="27" t="s">
        <v>1081</v>
      </c>
      <c r="F176" s="27" t="s">
        <v>684</v>
      </c>
      <c r="G176" s="27" t="s">
        <v>1082</v>
      </c>
      <c r="H176" s="27"/>
      <c r="I176" s="28" t="s">
        <v>37</v>
      </c>
      <c r="J176" s="27"/>
    </row>
    <row r="177" customFormat="false" ht="15" hidden="false" customHeight="false" outlineLevel="0" collapsed="false">
      <c r="A177" s="31" t="s">
        <v>627</v>
      </c>
      <c r="B177" s="32" t="s">
        <v>56</v>
      </c>
      <c r="C177" s="33" t="s">
        <v>629</v>
      </c>
      <c r="D177" s="34" t="n">
        <v>1</v>
      </c>
      <c r="E177" s="32" t="s">
        <v>1083</v>
      </c>
      <c r="F177" s="32" t="s">
        <v>1084</v>
      </c>
      <c r="G177" s="32" t="s">
        <v>794</v>
      </c>
      <c r="H177" s="32"/>
      <c r="I177" s="35" t="s">
        <v>37</v>
      </c>
      <c r="J177" s="32"/>
    </row>
    <row r="178" customFormat="false" ht="15" hidden="false" customHeight="false" outlineLevel="0" collapsed="false">
      <c r="A178" s="27"/>
      <c r="B178" s="27"/>
      <c r="C178" s="27"/>
      <c r="D178" s="36" t="n">
        <v>2</v>
      </c>
      <c r="E178" s="27" t="s">
        <v>1085</v>
      </c>
      <c r="F178" s="27" t="s">
        <v>1086</v>
      </c>
      <c r="G178" s="27" t="s">
        <v>1087</v>
      </c>
      <c r="H178" s="27"/>
      <c r="I178" s="28" t="s">
        <v>37</v>
      </c>
      <c r="J178" s="27"/>
    </row>
    <row r="179" customFormat="false" ht="15" hidden="false" customHeight="false" outlineLevel="0" collapsed="false">
      <c r="A179" s="31" t="s">
        <v>632</v>
      </c>
      <c r="B179" s="32" t="s">
        <v>56</v>
      </c>
      <c r="C179" s="33" t="s">
        <v>633</v>
      </c>
      <c r="D179" s="34" t="n">
        <v>1</v>
      </c>
      <c r="E179" s="32" t="s">
        <v>1088</v>
      </c>
      <c r="F179" s="32" t="s">
        <v>1089</v>
      </c>
      <c r="G179" s="32" t="s">
        <v>1090</v>
      </c>
      <c r="H179" s="32"/>
      <c r="I179" s="35" t="s">
        <v>37</v>
      </c>
      <c r="J179" s="32"/>
    </row>
    <row r="180" customFormat="false" ht="15" hidden="false" customHeight="false" outlineLevel="0" collapsed="false">
      <c r="A180" s="27"/>
      <c r="B180" s="27"/>
      <c r="C180" s="27"/>
      <c r="D180" s="36" t="n">
        <v>2</v>
      </c>
      <c r="E180" s="27" t="s">
        <v>1091</v>
      </c>
      <c r="F180" s="27" t="s">
        <v>684</v>
      </c>
      <c r="G180" s="27" t="s">
        <v>1092</v>
      </c>
      <c r="H180" s="27"/>
      <c r="I180" s="28" t="s">
        <v>37</v>
      </c>
      <c r="J180" s="27"/>
    </row>
    <row r="181" customFormat="false" ht="15" hidden="false" customHeight="false" outlineLevel="0" collapsed="false">
      <c r="A181" s="31" t="s">
        <v>636</v>
      </c>
      <c r="B181" s="32" t="s">
        <v>56</v>
      </c>
      <c r="C181" s="33" t="s">
        <v>638</v>
      </c>
      <c r="D181" s="34" t="n">
        <v>1</v>
      </c>
      <c r="E181" s="32" t="s">
        <v>1093</v>
      </c>
      <c r="F181" s="32" t="s">
        <v>684</v>
      </c>
      <c r="G181" s="32" t="s">
        <v>1094</v>
      </c>
      <c r="H181" s="32"/>
      <c r="I181" s="35" t="s">
        <v>37</v>
      </c>
      <c r="J181" s="32"/>
    </row>
    <row r="182" customFormat="false" ht="15" hidden="false" customHeight="false" outlineLevel="0" collapsed="false">
      <c r="A182" s="31" t="s">
        <v>642</v>
      </c>
      <c r="B182" s="32" t="s">
        <v>57</v>
      </c>
      <c r="C182" s="33" t="s">
        <v>643</v>
      </c>
      <c r="D182" s="34" t="n">
        <v>1</v>
      </c>
      <c r="E182" s="32" t="s">
        <v>1095</v>
      </c>
      <c r="F182" s="32" t="s">
        <v>687</v>
      </c>
      <c r="G182" s="32" t="s">
        <v>1096</v>
      </c>
      <c r="H182" s="32"/>
      <c r="I182" s="35" t="s">
        <v>37</v>
      </c>
      <c r="J182" s="32"/>
    </row>
    <row r="183" customFormat="false" ht="15" hidden="false" customHeight="false" outlineLevel="0" collapsed="false">
      <c r="A183" s="27"/>
      <c r="B183" s="27"/>
      <c r="C183" s="27"/>
      <c r="D183" s="36" t="n">
        <v>2</v>
      </c>
      <c r="E183" s="27" t="s">
        <v>1097</v>
      </c>
      <c r="F183" s="27" t="s">
        <v>684</v>
      </c>
      <c r="G183" s="27" t="s">
        <v>1098</v>
      </c>
      <c r="H183" s="27"/>
      <c r="I183" s="28" t="s">
        <v>37</v>
      </c>
      <c r="J183" s="27"/>
    </row>
    <row r="184" customFormat="false" ht="15" hidden="false" customHeight="false" outlineLevel="0" collapsed="false">
      <c r="A184" s="31" t="s">
        <v>648</v>
      </c>
      <c r="B184" s="32" t="s">
        <v>57</v>
      </c>
      <c r="C184" s="33" t="s">
        <v>650</v>
      </c>
      <c r="D184" s="34" t="n">
        <v>1</v>
      </c>
      <c r="E184" s="32" t="s">
        <v>1099</v>
      </c>
      <c r="F184" s="32" t="s">
        <v>684</v>
      </c>
      <c r="G184" s="32" t="s">
        <v>1100</v>
      </c>
      <c r="H184" s="32"/>
      <c r="I184" s="35" t="s">
        <v>37</v>
      </c>
      <c r="J184" s="32"/>
    </row>
    <row r="185" customFormat="false" ht="15" hidden="false" customHeight="false" outlineLevel="0" collapsed="false">
      <c r="A185" s="31" t="s">
        <v>653</v>
      </c>
      <c r="B185" s="32" t="s">
        <v>57</v>
      </c>
      <c r="C185" s="33" t="s">
        <v>655</v>
      </c>
      <c r="D185" s="34" t="n">
        <v>1</v>
      </c>
      <c r="E185" s="32" t="s">
        <v>1101</v>
      </c>
      <c r="F185" s="32" t="s">
        <v>684</v>
      </c>
      <c r="G185" s="32" t="s">
        <v>1102</v>
      </c>
      <c r="H185" s="32"/>
      <c r="I185" s="35" t="s">
        <v>37</v>
      </c>
      <c r="J185" s="32"/>
    </row>
    <row r="186" customFormat="false" ht="15" hidden="false" customHeight="false" outlineLevel="0" collapsed="false">
      <c r="A186" s="31" t="s">
        <v>659</v>
      </c>
      <c r="B186" s="32" t="s">
        <v>58</v>
      </c>
      <c r="C186" s="33" t="s">
        <v>661</v>
      </c>
      <c r="D186" s="34" t="n">
        <v>1</v>
      </c>
      <c r="E186" s="32" t="s">
        <v>1103</v>
      </c>
      <c r="F186" s="32" t="s">
        <v>824</v>
      </c>
      <c r="G186" s="32" t="s">
        <v>1104</v>
      </c>
      <c r="H186" s="32"/>
      <c r="I186" s="35" t="s">
        <v>37</v>
      </c>
      <c r="J186" s="32"/>
    </row>
    <row r="187" customFormat="false" ht="15" hidden="false" customHeight="false" outlineLevel="0" collapsed="false">
      <c r="A187" s="27"/>
      <c r="B187" s="27"/>
      <c r="C187" s="27"/>
      <c r="D187" s="36" t="n">
        <v>2</v>
      </c>
      <c r="E187" s="27" t="s">
        <v>826</v>
      </c>
      <c r="F187" s="27" t="s">
        <v>684</v>
      </c>
      <c r="G187" s="27" t="s">
        <v>1105</v>
      </c>
      <c r="H187" s="27"/>
      <c r="I187" s="28" t="s">
        <v>37</v>
      </c>
      <c r="J187" s="27"/>
    </row>
    <row r="188" customFormat="false" ht="15" hidden="false" customHeight="false" outlineLevel="0" collapsed="false">
      <c r="A188" s="31" t="s">
        <v>666</v>
      </c>
      <c r="B188" s="32" t="s">
        <v>58</v>
      </c>
      <c r="C188" s="33" t="s">
        <v>667</v>
      </c>
      <c r="D188" s="34" t="n">
        <v>1</v>
      </c>
      <c r="E188" s="32" t="s">
        <v>1106</v>
      </c>
      <c r="F188" s="32" t="s">
        <v>684</v>
      </c>
      <c r="G188" s="32" t="s">
        <v>1107</v>
      </c>
      <c r="H188" s="32"/>
      <c r="I188" s="35" t="s">
        <v>37</v>
      </c>
      <c r="J188" s="32"/>
    </row>
    <row r="189" customFormat="false" ht="15" hidden="false" customHeight="false" outlineLevel="0" collapsed="false">
      <c r="A189" s="27"/>
      <c r="B189" s="27"/>
      <c r="C189" s="27"/>
      <c r="D189" s="36" t="n">
        <v>2</v>
      </c>
      <c r="E189" s="27" t="s">
        <v>1108</v>
      </c>
      <c r="F189" s="27" t="s">
        <v>684</v>
      </c>
      <c r="G189" s="27" t="s">
        <v>1109</v>
      </c>
      <c r="H189" s="27"/>
      <c r="I189" s="28" t="s">
        <v>37</v>
      </c>
      <c r="J189" s="27"/>
    </row>
    <row r="190" customFormat="false" ht="22.35" hidden="false" customHeight="false" outlineLevel="0" collapsed="false">
      <c r="A190" s="31" t="s">
        <v>671</v>
      </c>
      <c r="B190" s="32" t="s">
        <v>58</v>
      </c>
      <c r="C190" s="33" t="s">
        <v>673</v>
      </c>
      <c r="D190" s="34" t="n">
        <v>1</v>
      </c>
      <c r="E190" s="32" t="s">
        <v>1110</v>
      </c>
      <c r="F190" s="32" t="s">
        <v>684</v>
      </c>
      <c r="G190" s="32" t="s">
        <v>1111</v>
      </c>
      <c r="H190" s="32"/>
      <c r="I190" s="35" t="s">
        <v>37</v>
      </c>
      <c r="J190" s="32"/>
    </row>
  </sheetData>
  <autoFilter ref="A1:J190"/>
  <conditionalFormatting sqref="I2:I190">
    <cfRule type="cellIs" priority="2" operator="equal" aboveAverage="0" equalAverage="0" bottom="0" percent="0" rank="0" text="" dxfId="14">
      <formula>"Pass"</formula>
    </cfRule>
    <cfRule type="cellIs" priority="3" operator="equal" aboveAverage="0" equalAverage="0" bottom="0" percent="0" rank="0" text="" dxfId="15">
      <formula>"Fail"</formula>
    </cfRule>
    <cfRule type="cellIs" priority="4" operator="equal" aboveAverage="0" equalAverage="0" bottom="0" percent="0" rank="0" text="" dxfId="16">
      <formula>"Blocked"</formula>
    </cfRule>
    <cfRule type="cellIs" priority="5" operator="equal" aboveAverage="0" equalAverage="0" bottom="0" percent="0" rank="0" text="" dxfId="17">
      <formula>"In Progress"</formula>
    </cfRule>
    <cfRule type="cellIs" priority="6" operator="equal" aboveAverage="0" equalAverage="0" bottom="0" percent="0" rank="0" text="" dxfId="18">
      <formula>"Not Run"</formula>
    </cfRule>
  </conditionalFormatting>
  <dataValidations count="1">
    <dataValidation allowBlank="true" errorStyle="stop" operator="between" showDropDown="false" showErrorMessage="false" showInputMessage="false" sqref="I2:I190" type="list">
      <formula1>"Pass,Fail,Blocked,In Progress,Not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4"/>
    <col collapsed="false" customWidth="true" hidden="false" outlineLevel="0" max="5" min="5" style="0" width="9"/>
  </cols>
  <sheetData>
    <row r="1" customFormat="false" ht="15" hidden="false" customHeight="false" outlineLevel="0" collapsed="false">
      <c r="A1" s="37" t="s">
        <v>63</v>
      </c>
      <c r="B1" s="37" t="s">
        <v>31</v>
      </c>
      <c r="C1" s="37" t="s">
        <v>65</v>
      </c>
      <c r="D1" s="37" t="s">
        <v>1112</v>
      </c>
      <c r="E1" s="37" t="s">
        <v>66</v>
      </c>
    </row>
    <row r="2" customFormat="false" ht="15" hidden="false" customHeight="false" outlineLevel="0" collapsed="false">
      <c r="A2" s="22" t="s">
        <v>77</v>
      </c>
      <c r="B2" s="23" t="s">
        <v>38</v>
      </c>
      <c r="C2" s="23" t="s">
        <v>79</v>
      </c>
      <c r="D2" s="23" t="s">
        <v>86</v>
      </c>
      <c r="E2" s="23" t="s">
        <v>80</v>
      </c>
    </row>
    <row r="3" customFormat="false" ht="15" hidden="false" customHeight="false" outlineLevel="0" collapsed="false">
      <c r="A3" s="26" t="s">
        <v>87</v>
      </c>
      <c r="B3" s="27" t="s">
        <v>38</v>
      </c>
      <c r="C3" s="27" t="s">
        <v>88</v>
      </c>
      <c r="D3" s="27" t="s">
        <v>86</v>
      </c>
      <c r="E3" s="27" t="s">
        <v>80</v>
      </c>
    </row>
    <row r="4" customFormat="false" ht="15" hidden="false" customHeight="false" outlineLevel="0" collapsed="false">
      <c r="A4" s="22" t="s">
        <v>93</v>
      </c>
      <c r="B4" s="23" t="s">
        <v>38</v>
      </c>
      <c r="C4" s="23" t="s">
        <v>95</v>
      </c>
      <c r="D4" s="23" t="s">
        <v>101</v>
      </c>
      <c r="E4" s="23" t="s">
        <v>96</v>
      </c>
    </row>
    <row r="5" customFormat="false" ht="15" hidden="false" customHeight="false" outlineLevel="0" collapsed="false">
      <c r="A5" s="26" t="s">
        <v>102</v>
      </c>
      <c r="B5" s="27" t="s">
        <v>38</v>
      </c>
      <c r="C5" s="27" t="s">
        <v>104</v>
      </c>
      <c r="D5" s="27" t="s">
        <v>108</v>
      </c>
      <c r="E5" s="27" t="s">
        <v>80</v>
      </c>
    </row>
    <row r="6" customFormat="false" ht="15" hidden="false" customHeight="false" outlineLevel="0" collapsed="false">
      <c r="A6" s="22" t="s">
        <v>109</v>
      </c>
      <c r="B6" s="23" t="s">
        <v>38</v>
      </c>
      <c r="C6" s="23" t="s">
        <v>110</v>
      </c>
      <c r="D6" s="23" t="s">
        <v>108</v>
      </c>
      <c r="E6" s="23" t="s">
        <v>80</v>
      </c>
    </row>
    <row r="7" customFormat="false" ht="15" hidden="false" customHeight="false" outlineLevel="0" collapsed="false">
      <c r="A7" s="26" t="s">
        <v>114</v>
      </c>
      <c r="B7" s="27" t="s">
        <v>38</v>
      </c>
      <c r="C7" s="27" t="s">
        <v>116</v>
      </c>
      <c r="D7" s="27" t="s">
        <v>101</v>
      </c>
      <c r="E7" s="27" t="s">
        <v>96</v>
      </c>
    </row>
    <row r="8" customFormat="false" ht="15" hidden="false" customHeight="false" outlineLevel="0" collapsed="false">
      <c r="A8" s="22" t="s">
        <v>120</v>
      </c>
      <c r="B8" s="23" t="s">
        <v>38</v>
      </c>
      <c r="C8" s="23" t="s">
        <v>122</v>
      </c>
      <c r="D8" s="23" t="s">
        <v>86</v>
      </c>
      <c r="E8" s="23" t="s">
        <v>123</v>
      </c>
    </row>
    <row r="9" customFormat="false" ht="15" hidden="false" customHeight="false" outlineLevel="0" collapsed="false">
      <c r="A9" s="26" t="s">
        <v>127</v>
      </c>
      <c r="B9" s="27" t="s">
        <v>38</v>
      </c>
      <c r="C9" s="27" t="s">
        <v>128</v>
      </c>
      <c r="D9" s="27" t="s">
        <v>86</v>
      </c>
      <c r="E9" s="27" t="s">
        <v>80</v>
      </c>
    </row>
    <row r="10" customFormat="false" ht="15" hidden="false" customHeight="false" outlineLevel="0" collapsed="false">
      <c r="A10" s="22" t="s">
        <v>131</v>
      </c>
      <c r="B10" s="23" t="s">
        <v>38</v>
      </c>
      <c r="C10" s="23" t="s">
        <v>133</v>
      </c>
      <c r="D10" s="23" t="s">
        <v>137</v>
      </c>
      <c r="E10" s="23" t="s">
        <v>123</v>
      </c>
    </row>
    <row r="11" customFormat="false" ht="15" hidden="false" customHeight="false" outlineLevel="0" collapsed="false">
      <c r="A11" s="26" t="s">
        <v>138</v>
      </c>
      <c r="B11" s="27" t="s">
        <v>38</v>
      </c>
      <c r="C11" s="27" t="s">
        <v>139</v>
      </c>
      <c r="D11" s="27" t="s">
        <v>86</v>
      </c>
      <c r="E11" s="27" t="s">
        <v>96</v>
      </c>
    </row>
    <row r="12" customFormat="false" ht="15" hidden="false" customHeight="false" outlineLevel="0" collapsed="false">
      <c r="A12" s="22" t="s">
        <v>142</v>
      </c>
      <c r="B12" s="23" t="s">
        <v>39</v>
      </c>
      <c r="C12" s="23" t="s">
        <v>144</v>
      </c>
      <c r="D12" s="23" t="s">
        <v>149</v>
      </c>
      <c r="E12" s="23" t="s">
        <v>80</v>
      </c>
    </row>
    <row r="13" customFormat="false" ht="15" hidden="false" customHeight="false" outlineLevel="0" collapsed="false">
      <c r="A13" s="26" t="s">
        <v>150</v>
      </c>
      <c r="B13" s="27" t="s">
        <v>39</v>
      </c>
      <c r="C13" s="27" t="s">
        <v>152</v>
      </c>
      <c r="D13" s="27" t="s">
        <v>156</v>
      </c>
      <c r="E13" s="27" t="s">
        <v>80</v>
      </c>
    </row>
    <row r="14" customFormat="false" ht="15" hidden="false" customHeight="false" outlineLevel="0" collapsed="false">
      <c r="A14" s="22" t="s">
        <v>157</v>
      </c>
      <c r="B14" s="23" t="s">
        <v>39</v>
      </c>
      <c r="C14" s="23" t="s">
        <v>159</v>
      </c>
      <c r="D14" s="23" t="s">
        <v>163</v>
      </c>
      <c r="E14" s="23" t="s">
        <v>96</v>
      </c>
    </row>
    <row r="15" customFormat="false" ht="15" hidden="false" customHeight="false" outlineLevel="0" collapsed="false">
      <c r="A15" s="26" t="s">
        <v>164</v>
      </c>
      <c r="B15" s="27" t="s">
        <v>39</v>
      </c>
      <c r="C15" s="27" t="s">
        <v>165</v>
      </c>
      <c r="D15" s="27" t="s">
        <v>169</v>
      </c>
      <c r="E15" s="27" t="s">
        <v>80</v>
      </c>
    </row>
    <row r="16" customFormat="false" ht="15" hidden="false" customHeight="false" outlineLevel="0" collapsed="false">
      <c r="A16" s="22" t="s">
        <v>170</v>
      </c>
      <c r="B16" s="23" t="s">
        <v>39</v>
      </c>
      <c r="C16" s="23" t="s">
        <v>172</v>
      </c>
      <c r="D16" s="23" t="s">
        <v>176</v>
      </c>
      <c r="E16" s="23" t="s">
        <v>80</v>
      </c>
    </row>
    <row r="17" customFormat="false" ht="15" hidden="false" customHeight="false" outlineLevel="0" collapsed="false">
      <c r="A17" s="26" t="s">
        <v>177</v>
      </c>
      <c r="B17" s="27" t="s">
        <v>39</v>
      </c>
      <c r="C17" s="27" t="s">
        <v>179</v>
      </c>
      <c r="D17" s="27" t="s">
        <v>156</v>
      </c>
      <c r="E17" s="27" t="s">
        <v>96</v>
      </c>
    </row>
    <row r="18" customFormat="false" ht="15" hidden="false" customHeight="false" outlineLevel="0" collapsed="false">
      <c r="A18" s="22" t="s">
        <v>183</v>
      </c>
      <c r="B18" s="23" t="s">
        <v>40</v>
      </c>
      <c r="C18" s="23" t="s">
        <v>184</v>
      </c>
      <c r="D18" s="23" t="s">
        <v>188</v>
      </c>
      <c r="E18" s="23" t="s">
        <v>80</v>
      </c>
    </row>
    <row r="19" customFormat="false" ht="15" hidden="false" customHeight="false" outlineLevel="0" collapsed="false">
      <c r="A19" s="26" t="s">
        <v>189</v>
      </c>
      <c r="B19" s="27" t="s">
        <v>40</v>
      </c>
      <c r="C19" s="27" t="s">
        <v>190</v>
      </c>
      <c r="D19" s="27" t="s">
        <v>188</v>
      </c>
      <c r="E19" s="27" t="s">
        <v>80</v>
      </c>
    </row>
    <row r="20" customFormat="false" ht="15" hidden="false" customHeight="false" outlineLevel="0" collapsed="false">
      <c r="A20" s="22" t="s">
        <v>193</v>
      </c>
      <c r="B20" s="23" t="s">
        <v>40</v>
      </c>
      <c r="C20" s="23" t="s">
        <v>194</v>
      </c>
      <c r="D20" s="23" t="s">
        <v>188</v>
      </c>
      <c r="E20" s="23" t="s">
        <v>80</v>
      </c>
    </row>
    <row r="21" customFormat="false" ht="15" hidden="false" customHeight="false" outlineLevel="0" collapsed="false">
      <c r="A21" s="26" t="s">
        <v>197</v>
      </c>
      <c r="B21" s="27" t="s">
        <v>40</v>
      </c>
      <c r="C21" s="27" t="s">
        <v>198</v>
      </c>
      <c r="D21" s="27" t="s">
        <v>188</v>
      </c>
      <c r="E21" s="27" t="s">
        <v>96</v>
      </c>
    </row>
    <row r="22" customFormat="false" ht="15" hidden="false" customHeight="false" outlineLevel="0" collapsed="false">
      <c r="A22" s="22" t="s">
        <v>201</v>
      </c>
      <c r="B22" s="23" t="s">
        <v>41</v>
      </c>
      <c r="C22" s="23" t="s">
        <v>203</v>
      </c>
      <c r="D22" s="23" t="s">
        <v>207</v>
      </c>
      <c r="E22" s="23" t="s">
        <v>96</v>
      </c>
    </row>
    <row r="23" customFormat="false" ht="15" hidden="false" customHeight="false" outlineLevel="0" collapsed="false">
      <c r="A23" s="26" t="s">
        <v>208</v>
      </c>
      <c r="B23" s="27" t="s">
        <v>41</v>
      </c>
      <c r="C23" s="27" t="s">
        <v>210</v>
      </c>
      <c r="D23" s="27" t="s">
        <v>207</v>
      </c>
      <c r="E23" s="27" t="s">
        <v>96</v>
      </c>
    </row>
    <row r="24" customFormat="false" ht="15" hidden="false" customHeight="false" outlineLevel="0" collapsed="false">
      <c r="A24" s="22" t="s">
        <v>213</v>
      </c>
      <c r="B24" s="23" t="s">
        <v>41</v>
      </c>
      <c r="C24" s="23" t="s">
        <v>215</v>
      </c>
      <c r="D24" s="23" t="s">
        <v>207</v>
      </c>
      <c r="E24" s="23" t="s">
        <v>96</v>
      </c>
    </row>
    <row r="25" customFormat="false" ht="15" hidden="false" customHeight="false" outlineLevel="0" collapsed="false">
      <c r="A25" s="26" t="s">
        <v>218</v>
      </c>
      <c r="B25" s="27" t="s">
        <v>41</v>
      </c>
      <c r="C25" s="27" t="s">
        <v>220</v>
      </c>
      <c r="D25" s="27" t="s">
        <v>223</v>
      </c>
      <c r="E25" s="27" t="s">
        <v>80</v>
      </c>
    </row>
    <row r="26" customFormat="false" ht="15" hidden="false" customHeight="false" outlineLevel="0" collapsed="false">
      <c r="A26" s="22" t="s">
        <v>224</v>
      </c>
      <c r="B26" s="23" t="s">
        <v>41</v>
      </c>
      <c r="C26" s="23" t="s">
        <v>226</v>
      </c>
      <c r="D26" s="23" t="s">
        <v>207</v>
      </c>
      <c r="E26" s="23" t="s">
        <v>96</v>
      </c>
    </row>
    <row r="27" customFormat="false" ht="15" hidden="false" customHeight="false" outlineLevel="0" collapsed="false">
      <c r="A27" s="26" t="s">
        <v>229</v>
      </c>
      <c r="B27" s="27" t="s">
        <v>42</v>
      </c>
      <c r="C27" s="27" t="s">
        <v>231</v>
      </c>
      <c r="D27" s="27" t="s">
        <v>235</v>
      </c>
      <c r="E27" s="27" t="s">
        <v>80</v>
      </c>
    </row>
    <row r="28" customFormat="false" ht="15" hidden="false" customHeight="false" outlineLevel="0" collapsed="false">
      <c r="A28" s="22" t="s">
        <v>236</v>
      </c>
      <c r="B28" s="23" t="s">
        <v>42</v>
      </c>
      <c r="C28" s="23" t="s">
        <v>237</v>
      </c>
      <c r="D28" s="23" t="s">
        <v>235</v>
      </c>
      <c r="E28" s="23" t="s">
        <v>80</v>
      </c>
    </row>
    <row r="29" customFormat="false" ht="15" hidden="false" customHeight="false" outlineLevel="0" collapsed="false">
      <c r="A29" s="26" t="s">
        <v>240</v>
      </c>
      <c r="B29" s="27" t="s">
        <v>42</v>
      </c>
      <c r="C29" s="27" t="s">
        <v>241</v>
      </c>
      <c r="D29" s="27" t="s">
        <v>235</v>
      </c>
      <c r="E29" s="27" t="s">
        <v>123</v>
      </c>
    </row>
    <row r="30" customFormat="false" ht="15" hidden="false" customHeight="false" outlineLevel="0" collapsed="false">
      <c r="A30" s="22" t="s">
        <v>245</v>
      </c>
      <c r="B30" s="23" t="s">
        <v>42</v>
      </c>
      <c r="C30" s="23" t="s">
        <v>246</v>
      </c>
      <c r="D30" s="23" t="s">
        <v>249</v>
      </c>
      <c r="E30" s="23" t="s">
        <v>96</v>
      </c>
    </row>
    <row r="31" customFormat="false" ht="15" hidden="false" customHeight="false" outlineLevel="0" collapsed="false">
      <c r="A31" s="26" t="s">
        <v>250</v>
      </c>
      <c r="B31" s="27" t="s">
        <v>42</v>
      </c>
      <c r="C31" s="27" t="s">
        <v>251</v>
      </c>
      <c r="D31" s="27" t="s">
        <v>235</v>
      </c>
      <c r="E31" s="27" t="s">
        <v>96</v>
      </c>
    </row>
    <row r="32" customFormat="false" ht="15" hidden="false" customHeight="false" outlineLevel="0" collapsed="false">
      <c r="A32" s="22" t="s">
        <v>254</v>
      </c>
      <c r="B32" s="23" t="s">
        <v>42</v>
      </c>
      <c r="C32" s="23" t="s">
        <v>255</v>
      </c>
      <c r="D32" s="23" t="s">
        <v>258</v>
      </c>
      <c r="E32" s="23" t="s">
        <v>123</v>
      </c>
    </row>
    <row r="33" customFormat="false" ht="15" hidden="false" customHeight="false" outlineLevel="0" collapsed="false">
      <c r="A33" s="26" t="s">
        <v>259</v>
      </c>
      <c r="B33" s="27" t="s">
        <v>43</v>
      </c>
      <c r="C33" s="27" t="s">
        <v>261</v>
      </c>
      <c r="D33" s="27" t="s">
        <v>265</v>
      </c>
      <c r="E33" s="27" t="s">
        <v>80</v>
      </c>
    </row>
    <row r="34" customFormat="false" ht="15" hidden="false" customHeight="false" outlineLevel="0" collapsed="false">
      <c r="A34" s="22" t="s">
        <v>266</v>
      </c>
      <c r="B34" s="23" t="s">
        <v>43</v>
      </c>
      <c r="C34" s="23" t="s">
        <v>267</v>
      </c>
      <c r="D34" s="23" t="s">
        <v>265</v>
      </c>
      <c r="E34" s="23" t="s">
        <v>80</v>
      </c>
    </row>
    <row r="35" customFormat="false" ht="15" hidden="false" customHeight="false" outlineLevel="0" collapsed="false">
      <c r="A35" s="26" t="s">
        <v>271</v>
      </c>
      <c r="B35" s="27" t="s">
        <v>43</v>
      </c>
      <c r="C35" s="27" t="s">
        <v>273</v>
      </c>
      <c r="D35" s="27" t="s">
        <v>277</v>
      </c>
      <c r="E35" s="27" t="s">
        <v>96</v>
      </c>
    </row>
    <row r="36" customFormat="false" ht="15" hidden="false" customHeight="false" outlineLevel="0" collapsed="false">
      <c r="A36" s="22" t="s">
        <v>278</v>
      </c>
      <c r="B36" s="23" t="s">
        <v>43</v>
      </c>
      <c r="C36" s="23" t="s">
        <v>279</v>
      </c>
      <c r="D36" s="23" t="s">
        <v>277</v>
      </c>
      <c r="E36" s="23" t="s">
        <v>96</v>
      </c>
    </row>
    <row r="37" customFormat="false" ht="15" hidden="false" customHeight="false" outlineLevel="0" collapsed="false">
      <c r="A37" s="26" t="s">
        <v>282</v>
      </c>
      <c r="B37" s="27" t="s">
        <v>43</v>
      </c>
      <c r="C37" s="27" t="s">
        <v>284</v>
      </c>
      <c r="D37" s="27" t="s">
        <v>287</v>
      </c>
      <c r="E37" s="27" t="s">
        <v>80</v>
      </c>
    </row>
    <row r="38" customFormat="false" ht="15" hidden="false" customHeight="false" outlineLevel="0" collapsed="false">
      <c r="A38" s="22" t="s">
        <v>288</v>
      </c>
      <c r="B38" s="23" t="s">
        <v>43</v>
      </c>
      <c r="C38" s="23" t="s">
        <v>290</v>
      </c>
      <c r="D38" s="23" t="s">
        <v>287</v>
      </c>
      <c r="E38" s="23" t="s">
        <v>123</v>
      </c>
    </row>
    <row r="39" customFormat="false" ht="15" hidden="false" customHeight="false" outlineLevel="0" collapsed="false">
      <c r="A39" s="26" t="s">
        <v>293</v>
      </c>
      <c r="B39" s="27" t="s">
        <v>43</v>
      </c>
      <c r="C39" s="27" t="s">
        <v>294</v>
      </c>
      <c r="D39" s="27" t="s">
        <v>298</v>
      </c>
      <c r="E39" s="27" t="s">
        <v>96</v>
      </c>
    </row>
    <row r="40" customFormat="false" ht="15" hidden="false" customHeight="false" outlineLevel="0" collapsed="false">
      <c r="A40" s="22" t="s">
        <v>299</v>
      </c>
      <c r="B40" s="23" t="s">
        <v>44</v>
      </c>
      <c r="C40" s="23" t="s">
        <v>301</v>
      </c>
      <c r="D40" s="23" t="s">
        <v>305</v>
      </c>
      <c r="E40" s="23" t="s">
        <v>80</v>
      </c>
    </row>
    <row r="41" customFormat="false" ht="15" hidden="false" customHeight="false" outlineLevel="0" collapsed="false">
      <c r="A41" s="26" t="s">
        <v>306</v>
      </c>
      <c r="B41" s="27" t="s">
        <v>44</v>
      </c>
      <c r="C41" s="27" t="s">
        <v>308</v>
      </c>
      <c r="D41" s="27" t="s">
        <v>311</v>
      </c>
      <c r="E41" s="27" t="s">
        <v>96</v>
      </c>
    </row>
    <row r="42" customFormat="false" ht="15" hidden="false" customHeight="false" outlineLevel="0" collapsed="false">
      <c r="A42" s="22" t="s">
        <v>312</v>
      </c>
      <c r="B42" s="23" t="s">
        <v>44</v>
      </c>
      <c r="C42" s="23" t="s">
        <v>313</v>
      </c>
      <c r="D42" s="23" t="s">
        <v>311</v>
      </c>
      <c r="E42" s="23" t="s">
        <v>96</v>
      </c>
    </row>
    <row r="43" customFormat="false" ht="15" hidden="false" customHeight="false" outlineLevel="0" collapsed="false">
      <c r="A43" s="26" t="s">
        <v>317</v>
      </c>
      <c r="B43" s="27" t="s">
        <v>44</v>
      </c>
      <c r="C43" s="27" t="s">
        <v>319</v>
      </c>
      <c r="D43" s="27" t="s">
        <v>322</v>
      </c>
      <c r="E43" s="27" t="s">
        <v>96</v>
      </c>
    </row>
    <row r="44" customFormat="false" ht="15" hidden="false" customHeight="false" outlineLevel="0" collapsed="false">
      <c r="A44" s="22" t="s">
        <v>323</v>
      </c>
      <c r="B44" s="23" t="s">
        <v>44</v>
      </c>
      <c r="C44" s="23" t="s">
        <v>325</v>
      </c>
      <c r="D44" s="23" t="s">
        <v>328</v>
      </c>
      <c r="E44" s="23" t="s">
        <v>123</v>
      </c>
    </row>
    <row r="45" customFormat="false" ht="15" hidden="false" customHeight="false" outlineLevel="0" collapsed="false">
      <c r="A45" s="26" t="s">
        <v>329</v>
      </c>
      <c r="B45" s="27" t="s">
        <v>44</v>
      </c>
      <c r="C45" s="27" t="s">
        <v>331</v>
      </c>
      <c r="D45" s="27" t="s">
        <v>333</v>
      </c>
      <c r="E45" s="27" t="s">
        <v>123</v>
      </c>
    </row>
    <row r="46" customFormat="false" ht="15" hidden="false" customHeight="false" outlineLevel="0" collapsed="false">
      <c r="A46" s="22" t="s">
        <v>334</v>
      </c>
      <c r="B46" s="23" t="s">
        <v>44</v>
      </c>
      <c r="C46" s="23" t="s">
        <v>336</v>
      </c>
      <c r="D46" s="23" t="s">
        <v>305</v>
      </c>
      <c r="E46" s="23" t="s">
        <v>96</v>
      </c>
    </row>
    <row r="47" customFormat="false" ht="15" hidden="false" customHeight="false" outlineLevel="0" collapsed="false">
      <c r="A47" s="26" t="s">
        <v>339</v>
      </c>
      <c r="B47" s="27" t="s">
        <v>44</v>
      </c>
      <c r="C47" s="27" t="s">
        <v>341</v>
      </c>
      <c r="D47" s="27" t="s">
        <v>305</v>
      </c>
      <c r="E47" s="27" t="s">
        <v>123</v>
      </c>
    </row>
    <row r="48" customFormat="false" ht="15" hidden="false" customHeight="false" outlineLevel="0" collapsed="false">
      <c r="A48" s="22" t="s">
        <v>344</v>
      </c>
      <c r="B48" s="23" t="s">
        <v>44</v>
      </c>
      <c r="C48" s="23" t="s">
        <v>345</v>
      </c>
      <c r="D48" s="23" t="s">
        <v>348</v>
      </c>
      <c r="E48" s="23" t="s">
        <v>80</v>
      </c>
    </row>
    <row r="49" customFormat="false" ht="15" hidden="false" customHeight="false" outlineLevel="0" collapsed="false">
      <c r="A49" s="26" t="s">
        <v>349</v>
      </c>
      <c r="B49" s="27" t="s">
        <v>44</v>
      </c>
      <c r="C49" s="27" t="s">
        <v>350</v>
      </c>
      <c r="D49" s="27" t="s">
        <v>354</v>
      </c>
      <c r="E49" s="27" t="s">
        <v>96</v>
      </c>
    </row>
    <row r="50" customFormat="false" ht="15" hidden="false" customHeight="false" outlineLevel="0" collapsed="false">
      <c r="A50" s="22" t="s">
        <v>355</v>
      </c>
      <c r="B50" s="23" t="s">
        <v>45</v>
      </c>
      <c r="C50" s="23" t="s">
        <v>357</v>
      </c>
      <c r="D50" s="23" t="s">
        <v>361</v>
      </c>
      <c r="E50" s="23" t="s">
        <v>80</v>
      </c>
    </row>
    <row r="51" customFormat="false" ht="15" hidden="false" customHeight="false" outlineLevel="0" collapsed="false">
      <c r="A51" s="26" t="s">
        <v>362</v>
      </c>
      <c r="B51" s="27" t="s">
        <v>45</v>
      </c>
      <c r="C51" s="27" t="s">
        <v>364</v>
      </c>
      <c r="D51" s="27" t="s">
        <v>361</v>
      </c>
      <c r="E51" s="27" t="s">
        <v>96</v>
      </c>
    </row>
    <row r="52" customFormat="false" ht="15" hidden="false" customHeight="false" outlineLevel="0" collapsed="false">
      <c r="A52" s="22" t="s">
        <v>367</v>
      </c>
      <c r="B52" s="23" t="s">
        <v>45</v>
      </c>
      <c r="C52" s="23" t="s">
        <v>369</v>
      </c>
      <c r="D52" s="23" t="s">
        <v>361</v>
      </c>
      <c r="E52" s="23" t="s">
        <v>123</v>
      </c>
    </row>
    <row r="53" customFormat="false" ht="15" hidden="false" customHeight="false" outlineLevel="0" collapsed="false">
      <c r="A53" s="26" t="s">
        <v>372</v>
      </c>
      <c r="B53" s="27" t="s">
        <v>45</v>
      </c>
      <c r="C53" s="27" t="s">
        <v>374</v>
      </c>
      <c r="D53" s="27" t="s">
        <v>378</v>
      </c>
      <c r="E53" s="27" t="s">
        <v>96</v>
      </c>
    </row>
    <row r="54" customFormat="false" ht="15" hidden="false" customHeight="false" outlineLevel="0" collapsed="false">
      <c r="A54" s="22" t="s">
        <v>379</v>
      </c>
      <c r="B54" s="23" t="s">
        <v>45</v>
      </c>
      <c r="C54" s="23" t="s">
        <v>381</v>
      </c>
      <c r="D54" s="23" t="s">
        <v>361</v>
      </c>
      <c r="E54" s="23" t="s">
        <v>123</v>
      </c>
    </row>
    <row r="55" customFormat="false" ht="15" hidden="false" customHeight="false" outlineLevel="0" collapsed="false">
      <c r="A55" s="26" t="s">
        <v>385</v>
      </c>
      <c r="B55" s="27" t="s">
        <v>46</v>
      </c>
      <c r="C55" s="27" t="s">
        <v>387</v>
      </c>
      <c r="D55" s="27" t="s">
        <v>390</v>
      </c>
      <c r="E55" s="27" t="s">
        <v>96</v>
      </c>
    </row>
    <row r="56" customFormat="false" ht="15" hidden="false" customHeight="false" outlineLevel="0" collapsed="false">
      <c r="A56" s="22" t="s">
        <v>391</v>
      </c>
      <c r="B56" s="23" t="s">
        <v>46</v>
      </c>
      <c r="C56" s="23" t="s">
        <v>393</v>
      </c>
      <c r="D56" s="23" t="s">
        <v>396</v>
      </c>
      <c r="E56" s="23" t="s">
        <v>80</v>
      </c>
    </row>
    <row r="57" customFormat="false" ht="15" hidden="false" customHeight="false" outlineLevel="0" collapsed="false">
      <c r="A57" s="26" t="s">
        <v>397</v>
      </c>
      <c r="B57" s="27" t="s">
        <v>46</v>
      </c>
      <c r="C57" s="27" t="s">
        <v>399</v>
      </c>
      <c r="D57" s="27" t="s">
        <v>402</v>
      </c>
      <c r="E57" s="27" t="s">
        <v>96</v>
      </c>
    </row>
    <row r="58" customFormat="false" ht="15" hidden="false" customHeight="false" outlineLevel="0" collapsed="false">
      <c r="A58" s="22" t="s">
        <v>403</v>
      </c>
      <c r="B58" s="23" t="s">
        <v>46</v>
      </c>
      <c r="C58" s="23" t="s">
        <v>405</v>
      </c>
      <c r="D58" s="23" t="s">
        <v>407</v>
      </c>
      <c r="E58" s="23" t="s">
        <v>123</v>
      </c>
    </row>
    <row r="59" customFormat="false" ht="15" hidden="false" customHeight="false" outlineLevel="0" collapsed="false">
      <c r="A59" s="26" t="s">
        <v>408</v>
      </c>
      <c r="B59" s="27" t="s">
        <v>46</v>
      </c>
      <c r="C59" s="27" t="s">
        <v>410</v>
      </c>
      <c r="D59" s="27" t="s">
        <v>412</v>
      </c>
      <c r="E59" s="27" t="s">
        <v>123</v>
      </c>
    </row>
    <row r="60" customFormat="false" ht="15" hidden="false" customHeight="false" outlineLevel="0" collapsed="false">
      <c r="A60" s="22" t="s">
        <v>413</v>
      </c>
      <c r="B60" s="23" t="s">
        <v>47</v>
      </c>
      <c r="C60" s="23" t="s">
        <v>414</v>
      </c>
      <c r="D60" s="23" t="s">
        <v>418</v>
      </c>
      <c r="E60" s="23" t="s">
        <v>96</v>
      </c>
    </row>
    <row r="61" customFormat="false" ht="15" hidden="false" customHeight="false" outlineLevel="0" collapsed="false">
      <c r="A61" s="26" t="s">
        <v>419</v>
      </c>
      <c r="B61" s="27" t="s">
        <v>47</v>
      </c>
      <c r="C61" s="27" t="s">
        <v>421</v>
      </c>
      <c r="D61" s="27" t="s">
        <v>424</v>
      </c>
      <c r="E61" s="27" t="s">
        <v>96</v>
      </c>
    </row>
    <row r="62" customFormat="false" ht="15" hidden="false" customHeight="false" outlineLevel="0" collapsed="false">
      <c r="A62" s="22" t="s">
        <v>425</v>
      </c>
      <c r="B62" s="23" t="s">
        <v>47</v>
      </c>
      <c r="C62" s="23" t="s">
        <v>427</v>
      </c>
      <c r="D62" s="23" t="s">
        <v>430</v>
      </c>
      <c r="E62" s="23" t="s">
        <v>96</v>
      </c>
    </row>
    <row r="63" customFormat="false" ht="15" hidden="false" customHeight="false" outlineLevel="0" collapsed="false">
      <c r="A63" s="26" t="s">
        <v>431</v>
      </c>
      <c r="B63" s="27" t="s">
        <v>47</v>
      </c>
      <c r="C63" s="27" t="s">
        <v>433</v>
      </c>
      <c r="D63" s="27" t="s">
        <v>436</v>
      </c>
      <c r="E63" s="27" t="s">
        <v>123</v>
      </c>
    </row>
    <row r="64" customFormat="false" ht="15" hidden="false" customHeight="false" outlineLevel="0" collapsed="false">
      <c r="A64" s="22" t="s">
        <v>437</v>
      </c>
      <c r="B64" s="23" t="s">
        <v>48</v>
      </c>
      <c r="C64" s="23" t="s">
        <v>438</v>
      </c>
      <c r="D64" s="23" t="s">
        <v>442</v>
      </c>
      <c r="E64" s="23" t="s">
        <v>96</v>
      </c>
    </row>
    <row r="65" customFormat="false" ht="15" hidden="false" customHeight="false" outlineLevel="0" collapsed="false">
      <c r="A65" s="26" t="s">
        <v>443</v>
      </c>
      <c r="B65" s="27" t="s">
        <v>48</v>
      </c>
      <c r="C65" s="27" t="s">
        <v>445</v>
      </c>
      <c r="D65" s="27" t="s">
        <v>448</v>
      </c>
      <c r="E65" s="27" t="s">
        <v>96</v>
      </c>
    </row>
    <row r="66" customFormat="false" ht="15" hidden="false" customHeight="false" outlineLevel="0" collapsed="false">
      <c r="A66" s="22" t="s">
        <v>449</v>
      </c>
      <c r="B66" s="23" t="s">
        <v>48</v>
      </c>
      <c r="C66" s="23" t="s">
        <v>451</v>
      </c>
      <c r="D66" s="23" t="s">
        <v>454</v>
      </c>
      <c r="E66" s="23" t="s">
        <v>96</v>
      </c>
    </row>
    <row r="67" customFormat="false" ht="15" hidden="false" customHeight="false" outlineLevel="0" collapsed="false">
      <c r="A67" s="26" t="s">
        <v>455</v>
      </c>
      <c r="B67" s="27" t="s">
        <v>48</v>
      </c>
      <c r="C67" s="27" t="s">
        <v>457</v>
      </c>
      <c r="D67" s="27" t="s">
        <v>460</v>
      </c>
      <c r="E67" s="27" t="s">
        <v>96</v>
      </c>
    </row>
    <row r="68" customFormat="false" ht="15" hidden="false" customHeight="false" outlineLevel="0" collapsed="false">
      <c r="A68" s="22" t="s">
        <v>461</v>
      </c>
      <c r="B68" s="23" t="s">
        <v>48</v>
      </c>
      <c r="C68" s="23" t="s">
        <v>463</v>
      </c>
      <c r="D68" s="23" t="s">
        <v>466</v>
      </c>
      <c r="E68" s="23" t="s">
        <v>123</v>
      </c>
    </row>
    <row r="69" customFormat="false" ht="15" hidden="false" customHeight="false" outlineLevel="0" collapsed="false">
      <c r="A69" s="26" t="s">
        <v>467</v>
      </c>
      <c r="B69" s="27" t="s">
        <v>49</v>
      </c>
      <c r="C69" s="27" t="s">
        <v>469</v>
      </c>
      <c r="D69" s="27" t="s">
        <v>473</v>
      </c>
      <c r="E69" s="27" t="s">
        <v>96</v>
      </c>
    </row>
    <row r="70" customFormat="false" ht="15" hidden="false" customHeight="false" outlineLevel="0" collapsed="false">
      <c r="A70" s="22" t="s">
        <v>474</v>
      </c>
      <c r="B70" s="23" t="s">
        <v>49</v>
      </c>
      <c r="C70" s="23" t="s">
        <v>476</v>
      </c>
      <c r="D70" s="23" t="s">
        <v>479</v>
      </c>
      <c r="E70" s="23" t="s">
        <v>80</v>
      </c>
    </row>
    <row r="71" customFormat="false" ht="15" hidden="false" customHeight="false" outlineLevel="0" collapsed="false">
      <c r="A71" s="26" t="s">
        <v>480</v>
      </c>
      <c r="B71" s="27" t="s">
        <v>49</v>
      </c>
      <c r="C71" s="27" t="s">
        <v>482</v>
      </c>
      <c r="D71" s="27" t="s">
        <v>485</v>
      </c>
      <c r="E71" s="27" t="s">
        <v>96</v>
      </c>
    </row>
    <row r="72" customFormat="false" ht="15" hidden="false" customHeight="false" outlineLevel="0" collapsed="false">
      <c r="A72" s="22" t="s">
        <v>486</v>
      </c>
      <c r="B72" s="23" t="s">
        <v>49</v>
      </c>
      <c r="C72" s="23" t="s">
        <v>487</v>
      </c>
      <c r="D72" s="23" t="s">
        <v>491</v>
      </c>
      <c r="E72" s="23" t="s">
        <v>80</v>
      </c>
    </row>
    <row r="73" customFormat="false" ht="15" hidden="false" customHeight="false" outlineLevel="0" collapsed="false">
      <c r="A73" s="26" t="s">
        <v>492</v>
      </c>
      <c r="B73" s="27" t="s">
        <v>50</v>
      </c>
      <c r="C73" s="27" t="s">
        <v>494</v>
      </c>
      <c r="D73" s="27" t="s">
        <v>498</v>
      </c>
      <c r="E73" s="27" t="s">
        <v>80</v>
      </c>
    </row>
    <row r="74" customFormat="false" ht="15" hidden="false" customHeight="false" outlineLevel="0" collapsed="false">
      <c r="A74" s="22" t="s">
        <v>499</v>
      </c>
      <c r="B74" s="23" t="s">
        <v>50</v>
      </c>
      <c r="C74" s="23" t="s">
        <v>501</v>
      </c>
      <c r="D74" s="23" t="s">
        <v>504</v>
      </c>
      <c r="E74" s="23" t="s">
        <v>80</v>
      </c>
    </row>
    <row r="75" customFormat="false" ht="15" hidden="false" customHeight="false" outlineLevel="0" collapsed="false">
      <c r="A75" s="26" t="s">
        <v>505</v>
      </c>
      <c r="B75" s="27" t="s">
        <v>50</v>
      </c>
      <c r="C75" s="27" t="s">
        <v>506</v>
      </c>
      <c r="D75" s="27" t="s">
        <v>504</v>
      </c>
      <c r="E75" s="27" t="s">
        <v>96</v>
      </c>
    </row>
    <row r="76" customFormat="false" ht="15" hidden="false" customHeight="false" outlineLevel="0" collapsed="false">
      <c r="A76" s="22" t="s">
        <v>509</v>
      </c>
      <c r="B76" s="23" t="s">
        <v>50</v>
      </c>
      <c r="C76" s="23" t="s">
        <v>510</v>
      </c>
      <c r="D76" s="23" t="s">
        <v>479</v>
      </c>
      <c r="E76" s="23" t="s">
        <v>96</v>
      </c>
    </row>
    <row r="77" customFormat="false" ht="15" hidden="false" customHeight="false" outlineLevel="0" collapsed="false">
      <c r="A77" s="26" t="s">
        <v>512</v>
      </c>
      <c r="B77" s="27" t="s">
        <v>50</v>
      </c>
      <c r="C77" s="27" t="s">
        <v>514</v>
      </c>
      <c r="D77" s="27" t="s">
        <v>504</v>
      </c>
      <c r="E77" s="27" t="s">
        <v>123</v>
      </c>
    </row>
    <row r="78" customFormat="false" ht="15" hidden="false" customHeight="false" outlineLevel="0" collapsed="false">
      <c r="A78" s="22" t="s">
        <v>517</v>
      </c>
      <c r="B78" s="23" t="s">
        <v>50</v>
      </c>
      <c r="C78" s="23" t="s">
        <v>519</v>
      </c>
      <c r="D78" s="23" t="s">
        <v>504</v>
      </c>
      <c r="E78" s="23" t="s">
        <v>123</v>
      </c>
    </row>
    <row r="79" customFormat="false" ht="15" hidden="false" customHeight="false" outlineLevel="0" collapsed="false">
      <c r="A79" s="26" t="s">
        <v>522</v>
      </c>
      <c r="B79" s="27" t="s">
        <v>50</v>
      </c>
      <c r="C79" s="27" t="s">
        <v>524</v>
      </c>
      <c r="D79" s="27" t="s">
        <v>526</v>
      </c>
      <c r="E79" s="27" t="s">
        <v>123</v>
      </c>
    </row>
    <row r="80" customFormat="false" ht="15" hidden="false" customHeight="false" outlineLevel="0" collapsed="false">
      <c r="A80" s="22" t="s">
        <v>527</v>
      </c>
      <c r="B80" s="23" t="s">
        <v>51</v>
      </c>
      <c r="C80" s="23" t="s">
        <v>528</v>
      </c>
      <c r="D80" s="23" t="s">
        <v>532</v>
      </c>
      <c r="E80" s="23" t="s">
        <v>96</v>
      </c>
    </row>
    <row r="81" customFormat="false" ht="15" hidden="false" customHeight="false" outlineLevel="0" collapsed="false">
      <c r="A81" s="26" t="s">
        <v>533</v>
      </c>
      <c r="B81" s="27" t="s">
        <v>51</v>
      </c>
      <c r="C81" s="27" t="s">
        <v>535</v>
      </c>
      <c r="D81" s="27" t="s">
        <v>532</v>
      </c>
      <c r="E81" s="27" t="s">
        <v>96</v>
      </c>
    </row>
    <row r="82" customFormat="false" ht="15" hidden="false" customHeight="false" outlineLevel="0" collapsed="false">
      <c r="A82" s="22" t="s">
        <v>538</v>
      </c>
      <c r="B82" s="23" t="s">
        <v>51</v>
      </c>
      <c r="C82" s="23" t="s">
        <v>540</v>
      </c>
      <c r="D82" s="23" t="s">
        <v>543</v>
      </c>
      <c r="E82" s="23" t="s">
        <v>96</v>
      </c>
    </row>
    <row r="83" customFormat="false" ht="15" hidden="false" customHeight="false" outlineLevel="0" collapsed="false">
      <c r="A83" s="26" t="s">
        <v>544</v>
      </c>
      <c r="B83" s="27" t="s">
        <v>51</v>
      </c>
      <c r="C83" s="27" t="s">
        <v>546</v>
      </c>
      <c r="D83" s="27" t="s">
        <v>549</v>
      </c>
      <c r="E83" s="27" t="s">
        <v>96</v>
      </c>
    </row>
    <row r="84" customFormat="false" ht="15" hidden="false" customHeight="false" outlineLevel="0" collapsed="false">
      <c r="A84" s="22" t="s">
        <v>550</v>
      </c>
      <c r="B84" s="23" t="s">
        <v>51</v>
      </c>
      <c r="C84" s="23" t="s">
        <v>551</v>
      </c>
      <c r="D84" s="23" t="s">
        <v>532</v>
      </c>
      <c r="E84" s="23" t="s">
        <v>96</v>
      </c>
    </row>
    <row r="85" customFormat="false" ht="15" hidden="false" customHeight="false" outlineLevel="0" collapsed="false">
      <c r="A85" s="26" t="s">
        <v>554</v>
      </c>
      <c r="B85" s="27" t="s">
        <v>52</v>
      </c>
      <c r="C85" s="27" t="s">
        <v>555</v>
      </c>
      <c r="D85" s="27" t="s">
        <v>559</v>
      </c>
      <c r="E85" s="27" t="s">
        <v>80</v>
      </c>
    </row>
    <row r="86" customFormat="false" ht="15" hidden="false" customHeight="false" outlineLevel="0" collapsed="false">
      <c r="A86" s="22" t="s">
        <v>560</v>
      </c>
      <c r="B86" s="23" t="s">
        <v>52</v>
      </c>
      <c r="C86" s="23" t="s">
        <v>562</v>
      </c>
      <c r="D86" s="23" t="s">
        <v>566</v>
      </c>
      <c r="E86" s="23" t="s">
        <v>96</v>
      </c>
    </row>
    <row r="87" customFormat="false" ht="15" hidden="false" customHeight="false" outlineLevel="0" collapsed="false">
      <c r="A87" s="26" t="s">
        <v>567</v>
      </c>
      <c r="B87" s="27" t="s">
        <v>52</v>
      </c>
      <c r="C87" s="27" t="s">
        <v>569</v>
      </c>
      <c r="D87" s="27" t="s">
        <v>572</v>
      </c>
      <c r="E87" s="27" t="s">
        <v>123</v>
      </c>
    </row>
    <row r="88" customFormat="false" ht="15" hidden="false" customHeight="false" outlineLevel="0" collapsed="false">
      <c r="A88" s="22" t="s">
        <v>573</v>
      </c>
      <c r="B88" s="23" t="s">
        <v>52</v>
      </c>
      <c r="C88" s="23" t="s">
        <v>575</v>
      </c>
      <c r="D88" s="23" t="s">
        <v>578</v>
      </c>
      <c r="E88" s="23" t="s">
        <v>123</v>
      </c>
    </row>
    <row r="89" customFormat="false" ht="15" hidden="false" customHeight="false" outlineLevel="0" collapsed="false">
      <c r="A89" s="26" t="s">
        <v>579</v>
      </c>
      <c r="B89" s="27" t="s">
        <v>53</v>
      </c>
      <c r="C89" s="27" t="s">
        <v>581</v>
      </c>
      <c r="D89" s="27" t="s">
        <v>466</v>
      </c>
      <c r="E89" s="27" t="s">
        <v>123</v>
      </c>
    </row>
    <row r="90" customFormat="false" ht="15" hidden="false" customHeight="false" outlineLevel="0" collapsed="false">
      <c r="A90" s="22" t="s">
        <v>584</v>
      </c>
      <c r="B90" s="23" t="s">
        <v>53</v>
      </c>
      <c r="C90" s="23" t="s">
        <v>586</v>
      </c>
      <c r="D90" s="23" t="s">
        <v>590</v>
      </c>
      <c r="E90" s="23" t="s">
        <v>96</v>
      </c>
    </row>
    <row r="91" customFormat="false" ht="15" hidden="false" customHeight="false" outlineLevel="0" collapsed="false">
      <c r="A91" s="26" t="s">
        <v>591</v>
      </c>
      <c r="B91" s="27" t="s">
        <v>53</v>
      </c>
      <c r="C91" s="27" t="s">
        <v>593</v>
      </c>
      <c r="D91" s="27" t="s">
        <v>466</v>
      </c>
      <c r="E91" s="27" t="s">
        <v>123</v>
      </c>
    </row>
    <row r="92" customFormat="false" ht="15" hidden="false" customHeight="false" outlineLevel="0" collapsed="false">
      <c r="A92" s="22" t="s">
        <v>597</v>
      </c>
      <c r="B92" s="23" t="s">
        <v>54</v>
      </c>
      <c r="C92" s="23" t="s">
        <v>599</v>
      </c>
      <c r="D92" s="23" t="s">
        <v>603</v>
      </c>
      <c r="E92" s="23" t="s">
        <v>80</v>
      </c>
    </row>
    <row r="93" customFormat="false" ht="15" hidden="false" customHeight="false" outlineLevel="0" collapsed="false">
      <c r="A93" s="26" t="s">
        <v>604</v>
      </c>
      <c r="B93" s="27" t="s">
        <v>54</v>
      </c>
      <c r="C93" s="27" t="s">
        <v>605</v>
      </c>
      <c r="D93" s="27" t="s">
        <v>609</v>
      </c>
      <c r="E93" s="27" t="s">
        <v>96</v>
      </c>
    </row>
    <row r="94" customFormat="false" ht="15" hidden="false" customHeight="false" outlineLevel="0" collapsed="false">
      <c r="A94" s="22" t="s">
        <v>610</v>
      </c>
      <c r="B94" s="23" t="s">
        <v>54</v>
      </c>
      <c r="C94" s="23" t="s">
        <v>611</v>
      </c>
      <c r="D94" s="23" t="s">
        <v>176</v>
      </c>
      <c r="E94" s="23" t="s">
        <v>80</v>
      </c>
    </row>
    <row r="95" customFormat="false" ht="15" hidden="false" customHeight="false" outlineLevel="0" collapsed="false">
      <c r="A95" s="26" t="s">
        <v>615</v>
      </c>
      <c r="B95" s="27" t="s">
        <v>55</v>
      </c>
      <c r="C95" s="27" t="s">
        <v>617</v>
      </c>
      <c r="D95" s="27" t="s">
        <v>621</v>
      </c>
      <c r="E95" s="27" t="s">
        <v>96</v>
      </c>
    </row>
    <row r="96" customFormat="false" ht="15" hidden="false" customHeight="false" outlineLevel="0" collapsed="false">
      <c r="A96" s="22" t="s">
        <v>622</v>
      </c>
      <c r="B96" s="23" t="s">
        <v>55</v>
      </c>
      <c r="C96" s="23" t="s">
        <v>624</v>
      </c>
      <c r="D96" s="23" t="s">
        <v>621</v>
      </c>
      <c r="E96" s="23" t="s">
        <v>123</v>
      </c>
    </row>
    <row r="97" customFormat="false" ht="15" hidden="false" customHeight="false" outlineLevel="0" collapsed="false">
      <c r="A97" s="26" t="s">
        <v>627</v>
      </c>
      <c r="B97" s="27" t="s">
        <v>56</v>
      </c>
      <c r="C97" s="27" t="s">
        <v>629</v>
      </c>
      <c r="D97" s="27" t="s">
        <v>631</v>
      </c>
      <c r="E97" s="27" t="s">
        <v>96</v>
      </c>
    </row>
    <row r="98" customFormat="false" ht="15" hidden="false" customHeight="false" outlineLevel="0" collapsed="false">
      <c r="A98" s="22" t="s">
        <v>632</v>
      </c>
      <c r="B98" s="23" t="s">
        <v>56</v>
      </c>
      <c r="C98" s="23" t="s">
        <v>633</v>
      </c>
      <c r="D98" s="23" t="s">
        <v>631</v>
      </c>
      <c r="E98" s="23" t="s">
        <v>123</v>
      </c>
    </row>
    <row r="99" customFormat="false" ht="15" hidden="false" customHeight="false" outlineLevel="0" collapsed="false">
      <c r="A99" s="26" t="s">
        <v>636</v>
      </c>
      <c r="B99" s="27" t="s">
        <v>56</v>
      </c>
      <c r="C99" s="27" t="s">
        <v>638</v>
      </c>
      <c r="D99" s="27" t="s">
        <v>631</v>
      </c>
      <c r="E99" s="27" t="s">
        <v>123</v>
      </c>
    </row>
    <row r="100" customFormat="false" ht="15" hidden="false" customHeight="false" outlineLevel="0" collapsed="false">
      <c r="A100" s="22" t="s">
        <v>642</v>
      </c>
      <c r="B100" s="23" t="s">
        <v>57</v>
      </c>
      <c r="C100" s="23" t="s">
        <v>643</v>
      </c>
      <c r="D100" s="23" t="s">
        <v>647</v>
      </c>
      <c r="E100" s="23" t="s">
        <v>96</v>
      </c>
    </row>
    <row r="101" customFormat="false" ht="15" hidden="false" customHeight="false" outlineLevel="0" collapsed="false">
      <c r="A101" s="26" t="s">
        <v>648</v>
      </c>
      <c r="B101" s="27" t="s">
        <v>57</v>
      </c>
      <c r="C101" s="27" t="s">
        <v>650</v>
      </c>
      <c r="D101" s="27" t="s">
        <v>647</v>
      </c>
      <c r="E101" s="27" t="s">
        <v>123</v>
      </c>
    </row>
    <row r="102" customFormat="false" ht="15" hidden="false" customHeight="false" outlineLevel="0" collapsed="false">
      <c r="A102" s="22" t="s">
        <v>653</v>
      </c>
      <c r="B102" s="23" t="s">
        <v>57</v>
      </c>
      <c r="C102" s="23" t="s">
        <v>655</v>
      </c>
      <c r="D102" s="23" t="s">
        <v>658</v>
      </c>
      <c r="E102" s="23" t="s">
        <v>123</v>
      </c>
    </row>
    <row r="103" customFormat="false" ht="15" hidden="false" customHeight="false" outlineLevel="0" collapsed="false">
      <c r="A103" s="26" t="s">
        <v>659</v>
      </c>
      <c r="B103" s="27" t="s">
        <v>58</v>
      </c>
      <c r="C103" s="27" t="s">
        <v>661</v>
      </c>
      <c r="D103" s="27" t="s">
        <v>665</v>
      </c>
      <c r="E103" s="27" t="s">
        <v>96</v>
      </c>
    </row>
    <row r="104" customFormat="false" ht="15" hidden="false" customHeight="false" outlineLevel="0" collapsed="false">
      <c r="A104" s="22" t="s">
        <v>666</v>
      </c>
      <c r="B104" s="23" t="s">
        <v>58</v>
      </c>
      <c r="C104" s="23" t="s">
        <v>667</v>
      </c>
      <c r="D104" s="23" t="s">
        <v>670</v>
      </c>
      <c r="E104" s="23" t="s">
        <v>123</v>
      </c>
    </row>
    <row r="105" customFormat="false" ht="15" hidden="false" customHeight="false" outlineLevel="0" collapsed="false">
      <c r="A105" s="26" t="s">
        <v>671</v>
      </c>
      <c r="B105" s="27" t="s">
        <v>58</v>
      </c>
      <c r="C105" s="27" t="s">
        <v>673</v>
      </c>
      <c r="D105" s="27" t="s">
        <v>677</v>
      </c>
      <c r="E105" s="27" t="s">
        <v>123</v>
      </c>
    </row>
  </sheetData>
  <autoFilter ref="A1:E1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2026-08-15T04:21:02Z</dcterms:created>
  <dc:creator>openpyxl</dc:creator>
  <dc:description/>
  <dc:language>en-US</dc:language>
  <cp:lastModifiedBy/>
  <dcterms:modified xsi:type="dcterms:W3CDTF">2026-08-15T04:59:34Z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