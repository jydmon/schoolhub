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pics" sheetId="2" state="visible" r:id="rId4"/>
    <sheet name="Backlog" sheetId="3" state="visible" r:id="rId5"/>
  </sheets>
  <definedNames>
    <definedName function="false" hidden="true" localSheetId="2" name="_xlnm._FilterDatabase" vbProcedure="false">Backlog!$A$1:$K$29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<sst xmlns="http://schemas.openxmlformats.org/spreadsheetml/2006/main" count="374" uniqueCount="230">
  <si>
    <t xml:space="preserve">SchoolHub / SIPlat — Enhancements Backlog</t>
  </si>
  <si>
    <t xml:space="preserve">Spec dated 15 August 2026 · decomposed into epics &amp; user stories for sign-off</t>
  </si>
  <si>
    <t xml:space="preserve">Document</t>
  </si>
  <si>
    <t xml:space="preserve">Enhancements &amp; Improvements — product backlog</t>
  </si>
  <si>
    <t xml:space="preserve">Source spec</t>
  </si>
  <si>
    <t xml:space="preserve">'Enhancements &amp; Improvements – 15 August' (7 areas)</t>
  </si>
  <si>
    <t xml:space="preserve">Version</t>
  </si>
  <si>
    <t xml:space="preserve">0.1 (draft for sign-off)</t>
  </si>
  <si>
    <t xml:space="preserve">Prepared</t>
  </si>
  <si>
    <t xml:space="preserve">2026-08-15</t>
  </si>
  <si>
    <t xml:space="preserve">Epics</t>
  </si>
  <si>
    <t xml:space="preserve">7</t>
  </si>
  <si>
    <t xml:space="preserve">Stories</t>
  </si>
  <si>
    <t xml:space="preserve">28</t>
  </si>
  <si>
    <t xml:space="preserve">Method</t>
  </si>
  <si>
    <t xml:space="preserve">MoSCoW priority · T-shirt estimate (S/M/L) · surface = Web/Mobile/API</t>
  </si>
  <si>
    <t xml:space="preserve">Note</t>
  </si>
  <si>
    <t xml:space="preserve">E5 Messaging and E6 PDF branding EXTEND already-delivered work (Phase-2 messaging; Download Governance) — not rebuilds.</t>
  </si>
  <si>
    <t xml:space="preserve">Next step</t>
  </si>
  <si>
    <t xml:space="preserve">Review &amp; sign off priorities, then implementation proceeds area-by-area.</t>
  </si>
  <si>
    <t xml:space="preserve">Legend — MoSCoW</t>
  </si>
  <si>
    <t xml:space="preserve">Must</t>
  </si>
  <si>
    <t xml:space="preserve">Required for this release</t>
  </si>
  <si>
    <t xml:space="preserve">Should</t>
  </si>
  <si>
    <t xml:space="preserve">Important, not vital</t>
  </si>
  <si>
    <t xml:space="preserve">Could</t>
  </si>
  <si>
    <t xml:space="preserve">Desirable if time allows</t>
  </si>
  <si>
    <t xml:space="preserve">Won't</t>
  </si>
  <si>
    <t xml:space="preserve">Out of scope this round</t>
  </si>
  <si>
    <t xml:space="preserve">Epic</t>
  </si>
  <si>
    <t xml:space="preserve">Name</t>
  </si>
  <si>
    <t xml:space="preserve">Should/Could</t>
  </si>
  <si>
    <t xml:space="preserve">Suggested phase</t>
  </si>
  <si>
    <t xml:space="preserve">E4</t>
  </si>
  <si>
    <t xml:space="preserve">CRM Campaign — Draft View</t>
  </si>
  <si>
    <t xml:space="preserve">1 (quick win)</t>
  </si>
  <si>
    <t xml:space="preserve">E7</t>
  </si>
  <si>
    <t xml:space="preserve">Import/Download Navigation Warning</t>
  </si>
  <si>
    <t xml:space="preserve">E1</t>
  </si>
  <si>
    <t xml:space="preserve">Manual Data Import — new modules</t>
  </si>
  <si>
    <t xml:space="preserve">2</t>
  </si>
  <si>
    <t xml:space="preserve">E2</t>
  </si>
  <si>
    <t xml:space="preserve">Role-based Import Permissions (Teachers)</t>
  </si>
  <si>
    <t xml:space="preserve">E6</t>
  </si>
  <si>
    <t xml:space="preserve">PDF Download Templates (branding)</t>
  </si>
  <si>
    <t xml:space="preserve">E3</t>
  </si>
  <si>
    <t xml:space="preserve">Super-Admin School Analytics</t>
  </si>
  <si>
    <t xml:space="preserve">3</t>
  </si>
  <si>
    <t xml:space="preserve">E5</t>
  </si>
  <si>
    <t xml:space="preserve">Messaging Module Redesign</t>
  </si>
  <si>
    <t xml:space="preserve">TOTAL</t>
  </si>
  <si>
    <t xml:space="preserve">Story ID</t>
  </si>
  <si>
    <t xml:space="preserve">Title</t>
  </si>
  <si>
    <t xml:space="preserve">User Story</t>
  </si>
  <si>
    <t xml:space="preserve">Acceptance Criteria</t>
  </si>
  <si>
    <t xml:space="preserve">Priority</t>
  </si>
  <si>
    <t xml:space="preserve">Est.</t>
  </si>
  <si>
    <t xml:space="preserve">Surface</t>
  </si>
  <si>
    <t xml:space="preserve">Dependencies</t>
  </si>
  <si>
    <t xml:space="preserve">Overlap / Notes</t>
  </si>
  <si>
    <t xml:space="preserve">Status</t>
  </si>
  <si>
    <t xml:space="preserve">ENH-IMP-01</t>
  </si>
  <si>
    <t xml:space="preserve">E1 — Manual Data Import — new modules</t>
  </si>
  <si>
    <t xml:space="preserve">Clubs &amp; Activities import</t>
  </si>
  <si>
    <t xml:space="preserve">As a Super Admin, I can bulk-import Clubs &amp; Activities so I can onboard a school without an API.</t>
  </si>
  <si>
    <t xml:space="preserve">• Downloadable template matches system Club/Activity fields (name, category, schedule, capacity, staff lead, eligibility).
• Upload validates headers and row data; invalid rows rejected with reasons.
• Valid rows create/update records (idempotent upsert by key).
• Import writes an audit entry.</t>
  </si>
  <si>
    <t xml:space="preserve">M</t>
  </si>
  <si>
    <t xml:space="preserve">Web + API</t>
  </si>
  <si>
    <t xml:space="preserve">Import framework</t>
  </si>
  <si>
    <t xml:space="preserve">Extends existing Super-Admin manual import</t>
  </si>
  <si>
    <t xml:space="preserve">Backlog</t>
  </si>
  <si>
    <t xml:space="preserve">ENH-IMP-02</t>
  </si>
  <si>
    <t xml:space="preserve">Behaviour Records import</t>
  </si>
  <si>
    <t xml:space="preserve">As a Super Admin, I can bulk-import behaviour records (merits/incidents).</t>
  </si>
  <si>
    <t xml:space="preserve">• Template covers pupil ref, type, points, category, date, staff, note.
• Pupil references resolve to existing pupils; unknown refs flagged.
• Upsert + audit; feeds behaviour ingestion pipeline.</t>
  </si>
  <si>
    <t xml:space="preserve">Behaviour model</t>
  </si>
  <si>
    <t xml:space="preserve">Aligns with existing Behaviour ingestion slice</t>
  </si>
  <si>
    <t xml:space="preserve">ENH-IMP-03</t>
  </si>
  <si>
    <t xml:space="preserve">Class Timetables import</t>
  </si>
  <si>
    <t xml:space="preserve">As a Super Admin, I can bulk-import class timetables.</t>
  </si>
  <si>
    <t xml:space="preserve">• Template covers class, day, period, subject, room, teacher.
• Validates against existing classes/subjects/staff; conflicts flagged.
• Upsert by (class, day, period); audit.</t>
  </si>
  <si>
    <t xml:space="preserve">L</t>
  </si>
  <si>
    <t xml:space="preserve">Class/Subject models</t>
  </si>
  <si>
    <t xml:space="preserve">New</t>
  </si>
  <si>
    <t xml:space="preserve">ENH-IMP-04</t>
  </si>
  <si>
    <t xml:space="preserve">Knowledge Base import</t>
  </si>
  <si>
    <t xml:space="preserve">As a Super Admin, I can bulk-import Knowledge Base / information articles.</t>
  </si>
  <si>
    <t xml:space="preserve">• Template covers title, category, body, audience/visibility, status.
• Sanitises rich content on import; invalid HTML stripped.
• Upsert + audit.</t>
  </si>
  <si>
    <t xml:space="preserve">KB/CMS module</t>
  </si>
  <si>
    <t xml:space="preserve">Uses existing sanitisation</t>
  </si>
  <si>
    <t xml:space="preserve">ENH-IMP-05</t>
  </si>
  <si>
    <t xml:space="preserve">Pupil Reports import</t>
  </si>
  <si>
    <t xml:space="preserve">As a Super Admin, I can bulk-import pupil reports.</t>
  </si>
  <si>
    <t xml:space="preserve">• Template matches Phase-15 report fields (pupil, cycle, subject/section, grades, comments).
• Pupil &amp; cycle references validated; malformed rows flagged.
• Imports as draft or final per a column; audit.</t>
  </si>
  <si>
    <t xml:space="preserve">Phase-15 Pupil Reports</t>
  </si>
  <si>
    <t xml:space="preserve">ENH-IMP-06</t>
  </si>
  <si>
    <t xml:space="preserve">Aligned template library + field dictionary</t>
  </si>
  <si>
    <t xml:space="preserve">As an importer, I can download an accurate template with an example row and field guide for each module.</t>
  </si>
  <si>
    <t xml:space="preserve">• Each module exposes a downloadable template with headers, example row, and required/optional flags.
• A field dictionary documents each column, type and allowed values.
• Templates are versioned and match the live schema.</t>
  </si>
  <si>
    <t xml:space="preserve">Web</t>
  </si>
  <si>
    <t xml:space="preserve">ENH-IMP-01..05</t>
  </si>
  <si>
    <t xml:space="preserve">Consistency across all import modules</t>
  </si>
  <si>
    <t xml:space="preserve">ENH-IMP-07</t>
  </si>
  <si>
    <t xml:space="preserve">Unified validation &amp; error queue</t>
  </si>
  <si>
    <t xml:space="preserve">As an importer, I see row-level errors with reasons and suggested fixes before committing.</t>
  </si>
  <si>
    <t xml:space="preserve">• Dry-run/preview shows counts of valid/invalid rows.
• Each invalid row lists field, reason and suggested fix.
• Nothing is written until the importer confirms the preview.</t>
  </si>
  <si>
    <t xml:space="preserve">Mirror MIS error-queue UX</t>
  </si>
  <si>
    <t xml:space="preserve">ENH-PERM-01</t>
  </si>
  <si>
    <t xml:space="preserve">E2 — Role-based Import Permissions (Teachers)</t>
  </si>
  <si>
    <t xml:space="preserve">Granular import permission</t>
  </si>
  <si>
    <t xml:space="preserve">As a tenant admin, I can grant an import permission to authorised Teachers via RBAC.</t>
  </si>
  <si>
    <t xml:space="preserve">• New permission(s) for data import, assignable per role / TenantRole override.
• Permission is per-module where appropriate.
• Default: unassigned; School Admins retain full import.</t>
  </si>
  <si>
    <t xml:space="preserve">API + Web</t>
  </si>
  <si>
    <t xml:space="preserve">RBAC</t>
  </si>
  <si>
    <t xml:space="preserve">Extends static ROLE_PERMISSIONS + TenantRole overrides</t>
  </si>
  <si>
    <t xml:space="preserve">ENH-PERM-02</t>
  </si>
  <si>
    <t xml:space="preserve">Teacher import scope enforcement (server)</t>
  </si>
  <si>
    <t xml:space="preserve">As the platform, I ensure a teacher can only import data for pupils/classes under their responsibility.</t>
  </si>
  <si>
    <t xml:space="preserve">• Server enforces scope: only assigned pupils, own classes/timetables, their pupils' clubs, behaviour and reports.
• Out-of-scope rows are rejected with a clear reason.
• Enforced at a single server chokepoint, not per-endpoint.</t>
  </si>
  <si>
    <t xml:space="preserve">API</t>
  </si>
  <si>
    <t xml:space="preserve">Model on Account-Manager scopedSchoolIds chokepoint pattern</t>
  </si>
  <si>
    <t xml:space="preserve">ENH-PERM-03</t>
  </si>
  <si>
    <t xml:space="preserve">Teacher import UI (scoped)</t>
  </si>
  <si>
    <t xml:space="preserve">As an authorised Teacher, I only see import options I'm permitted to use.</t>
  </si>
  <si>
    <t xml:space="preserve">• Import UI lists only permitted modules.
• Pickers pre-scope to the teacher's pupils/classes.
• Clear messaging when nothing is in scope.</t>
  </si>
  <si>
    <t xml:space="preserve">ENH-PERM-01/02</t>
  </si>
  <si>
    <t xml:space="preserve">ENH-PERM-04</t>
  </si>
  <si>
    <t xml:space="preserve">Scope + permission audit</t>
  </si>
  <si>
    <t xml:space="preserve">As a compliance reviewer, I can see who imported what, within which scope.</t>
  </si>
  <si>
    <t xml:space="preserve">• Every teacher import records actor, module, scope and row counts.
• Audit is filterable by user and module.</t>
  </si>
  <si>
    <t xml:space="preserve">S</t>
  </si>
  <si>
    <t xml:space="preserve">Reuse audit infrastructure</t>
  </si>
  <si>
    <t xml:space="preserve">ENH-ANL-01</t>
  </si>
  <si>
    <t xml:space="preserve">E3 — Super-Admin School Analytics</t>
  </si>
  <si>
    <t xml:space="preserve">Usage event capture / instrumentation</t>
  </si>
  <si>
    <t xml:space="preserve">As the platform, I capture sessions, actions and feature usage needed for analytics.</t>
  </si>
  <si>
    <t xml:space="preserve">• Confirm existing signals (logins, sessions) and add gaps: action events, feature-usage events, session duration.
• Events are tenant-scoped and privacy-compliant (no sensitive payloads).
• Backfill strategy documented for existing tenants.</t>
  </si>
  <si>
    <t xml:space="preserve">—</t>
  </si>
  <si>
    <t xml:space="preserve">Foundational; assess what already exists before building</t>
  </si>
  <si>
    <t xml:space="preserve">ENH-ANL-02</t>
  </si>
  <si>
    <t xml:space="preserve">Per-school analytics dashboard</t>
  </si>
  <si>
    <t xml:space="preserve">As a Super Admin, I can view usage analytics for each school.</t>
  </si>
  <si>
    <t xml:space="preserve">• Shows total users, breakdown by role/type, active vs inactive, last login date/time.
• Per-school selection; loads within budget for large tenants.
• No PII beyond what the role may see.</t>
  </si>
  <si>
    <t xml:space="preserve">New Super-Admin section</t>
  </si>
  <si>
    <t xml:space="preserve">ENH-ANL-03</t>
  </si>
  <si>
    <t xml:space="preserve">Engagement metrics &amp; trends</t>
  </si>
  <si>
    <t xml:space="preserve">As a Super Admin, I can see time-on-platform, actions performed, most-used features and usage trends.</t>
  </si>
  <si>
    <t xml:space="preserve">• Metrics: time spent, action counts, top features/functions, usage frequency and trend charts.
• Charts are accessible and consistent with the design system.
• Aggregations pre-computed/rolled-up for performance.</t>
  </si>
  <si>
    <t xml:space="preserve">ENH-ANL-01/02</t>
  </si>
  <si>
    <t xml:space="preserve">dataviz standards apply</t>
  </si>
  <si>
    <t xml:space="preserve">ENH-ANL-04</t>
  </si>
  <si>
    <t xml:space="preserve">Analytics filters</t>
  </si>
  <si>
    <t xml:space="preserve">As a Super Admin, I can filter analytics by date range, period, user, user type/role and school.</t>
  </si>
  <si>
    <t xml:space="preserve">• All listed filters available and combinable.
• Filter state persists across refresh.
• Filters apply to both on-screen views and exports.</t>
  </si>
  <si>
    <t xml:space="preserve">Reuse usePersistentState</t>
  </si>
  <si>
    <t xml:space="preserve">ENH-ANL-05</t>
  </si>
  <si>
    <t xml:space="preserve">Analytics export — PDF</t>
  </si>
  <si>
    <t xml:space="preserve">As a Super Admin, I can export analytics to a branded PDF.</t>
  </si>
  <si>
    <t xml:space="preserve">• Export reflects current filters.
• Branded template (logo, title, metadata, page-numbered footer).
• Download is audited.</t>
  </si>
  <si>
    <t xml:space="preserve">ENH-ANL-02, E6</t>
  </si>
  <si>
    <t xml:space="preserve">Reuse Download-Governance brandedPdf</t>
  </si>
  <si>
    <t xml:space="preserve">ENH-ANL-06</t>
  </si>
  <si>
    <t xml:space="preserve">Analytics export — Excel</t>
  </si>
  <si>
    <t xml:space="preserve">As a Super Admin, I can export analytics to Excel.</t>
  </si>
  <si>
    <t xml:space="preserve">• Workbook includes a metadata sheet (source/user/timestamp/filters).
• Data matches the on-screen, filtered view.
• Download is audited.</t>
  </si>
  <si>
    <t xml:space="preserve">Reuse xlsMetaSheet</t>
  </si>
  <si>
    <t xml:space="preserve">ENH-CRM-01</t>
  </si>
  <si>
    <t xml:space="preserve">E4 — CRM Campaign — Draft View</t>
  </si>
  <si>
    <t xml:space="preserve">Draft campaign 'View' action</t>
  </si>
  <si>
    <t xml:space="preserve">As a CRM user, I can View a Draft-status campaign from the Action column.</t>
  </si>
  <si>
    <t xml:space="preserve">• Draft rows show a View action in the Action column.
• View opens the campaign for review.
• Action respects CRM permissions.</t>
  </si>
  <si>
    <t xml:space="preserve">Phase-17 CRM</t>
  </si>
  <si>
    <t xml:space="preserve">Small, self-contained</t>
  </si>
  <si>
    <t xml:space="preserve">ENH-CRM-02</t>
  </si>
  <si>
    <t xml:space="preserve">Open / review / edit draft</t>
  </si>
  <si>
    <t xml:space="preserve">As a CRM user, I can open, review and edit a draft campaign and save changes.</t>
  </si>
  <si>
    <t xml:space="preserve">• Draft detail view is editable.
• Edits save and remain in Draft until sent/scheduled.
• Audit on edit.</t>
  </si>
  <si>
    <t xml:space="preserve">ENH-MSG-01</t>
  </si>
  <si>
    <t xml:space="preserve">E5 — Messaging Module Redesign</t>
  </si>
  <si>
    <t xml:space="preserve">Replace rich-text editor (web)</t>
  </si>
  <si>
    <t xml:space="preserve">As a user, I have a modern, non-distorted message composer.</t>
  </si>
  <si>
    <t xml:space="preserve">• Remove the current distorted editor; replace with a modern composer.
• Reliable formatting (bold, italic, lists, links) with correct rendering.
• Output still passes through sanitize-html (no XSS regression).</t>
  </si>
  <si>
    <t xml:space="preserve">Existing messaging</t>
  </si>
  <si>
    <t xml:space="preserve">Extends Phase-2 messaging; keep threads/mentions/reactions</t>
  </si>
  <si>
    <t xml:space="preserve">ENH-MSG-02</t>
  </si>
  <si>
    <t xml:space="preserve">Responsive composer parity (mobile)</t>
  </si>
  <si>
    <t xml:space="preserve">As a mobile user, the composer is modern and consistent with desktop.</t>
  </si>
  <si>
    <t xml:space="preserve">• RN composer matches web capabilities and styling.
• Attachments, mentions and send states behave consistently.
• Works across common device sizes.</t>
  </si>
  <si>
    <t xml:space="preserve">Mobile</t>
  </si>
  <si>
    <t xml:space="preserve">RN kit components</t>
  </si>
  <si>
    <t xml:space="preserve">ENH-MSG-03</t>
  </si>
  <si>
    <t xml:space="preserve">Usability &amp; UX polish</t>
  </si>
  <si>
    <t xml:space="preserve">As a user, messaging is easier and clearer to use.</t>
  </si>
  <si>
    <t xml:space="preserve">• Improved formatting toolbar, drafts, send/delivery states, error handling.
• Consistent desktop + mobile experience.
• Accessibility checks pass.</t>
  </si>
  <si>
    <t xml:space="preserve">Web + Mobile</t>
  </si>
  <si>
    <t xml:space="preserve">ENH-MSG-01/02</t>
  </si>
  <si>
    <t xml:space="preserve">ENH-MSG-04</t>
  </si>
  <si>
    <t xml:space="preserve">Messaging regression guard</t>
  </si>
  <si>
    <t xml:space="preserve">As the team, existing messaging features keep working after the redesign.</t>
  </si>
  <si>
    <t xml:space="preserve">• Threads, group chats, @mentions, replies, reactions, read receipts unaffected.
• Sanitisation and attachment limits still enforced.
• Covered by the system test script messaging cases.</t>
  </si>
  <si>
    <t xml:space="preserve">Regression only</t>
  </si>
  <si>
    <t xml:space="preserve">ENH-PDF-01</t>
  </si>
  <si>
    <t xml:space="preserve">E6 — PDF Download Templates (branding)</t>
  </si>
  <si>
    <t xml:space="preserve">PDF branding compliance audit</t>
  </si>
  <si>
    <t xml:space="preserve">As the team, I have a gap list of PDF outputs not meeting branding standards.</t>
  </si>
  <si>
    <t xml:space="preserve">• Enumerate all PDF outputs across portals.
• Flag any missing logo, title, metadata, footer or consistent layout.
• Produce a remediation list.</t>
  </si>
  <si>
    <t xml:space="preserve">Analysis</t>
  </si>
  <si>
    <t xml:space="preserve">Download Governance</t>
  </si>
  <si>
    <t xml:space="preserve">Most outputs already branded; this finds gaps</t>
  </si>
  <si>
    <t xml:space="preserve">ENH-PDF-02</t>
  </si>
  <si>
    <t xml:space="preserve">Apply branded template to gaps</t>
  </si>
  <si>
    <t xml:space="preserve">As a user, every downloaded PDF follows the branding standard.</t>
  </si>
  <si>
    <t xml:space="preserve">• Logo + organisation branding present.
• Document title and generation details (metadata) included.
• Consistent, professional layout with page-numbered footer.</t>
  </si>
  <si>
    <t xml:space="preserve">Reuse brandedPdf helper</t>
  </si>
  <si>
    <t xml:space="preserve">ENH-PDF-03</t>
  </si>
  <si>
    <t xml:space="preserve">Retrofit deep-nested export routes</t>
  </si>
  <si>
    <t xml:space="preserve">As a user, exports from deep routes are branded and audited like the rest.</t>
  </si>
  <si>
    <t xml:space="preserve">• Reports, policies, trust-acks, import-template, messaging-delivery exports use the branded template.
• Each writes a DownloadAudit entry.
• Consistent with other governed downloads.</t>
  </si>
  <si>
    <t xml:space="preserve">The on-device pass noted earlier (sandbox depth cap)</t>
  </si>
  <si>
    <t xml:space="preserve">ENH-NAV-01</t>
  </si>
  <si>
    <t xml:space="preserve">E7 — Import/Download Navigation Warning</t>
  </si>
  <si>
    <t xml:space="preserve">In-progress operation tracking</t>
  </si>
  <si>
    <t xml:space="preserve">As the platform, I know when an import or download is running.</t>
  </si>
  <si>
    <t xml:space="preserve">• Import and download flows expose a running/complete state.
• State is reliable across the relevant screens.</t>
  </si>
  <si>
    <t xml:space="preserve">Foundational for the warning</t>
  </si>
  <si>
    <t xml:space="preserve">ENH-NAV-02</t>
  </si>
  <si>
    <t xml:space="preserve">Navigate-away warning</t>
  </si>
  <si>
    <t xml:space="preserve">As a user, I'm warned before leaving a page with a running import/download.</t>
  </si>
  <si>
    <t xml:space="preserve">• beforeunload + in-app route-change guard triggers while a process runs.
• Message states leaving/refreshing may interrupt and require a restart.
• Guard clears automatically on completion/cancel.</t>
  </si>
  <si>
    <t xml:space="preserve">Applies to both import and download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</si>
</sst>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730A3"/>
      <name val="Arial"/>
      <family val="0"/>
      <charset val="1"/>
    </font>
    <font>
      <sz val="11"/>
      <color rgb="FF64748B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2"/>
      <color rgb="FF3730A3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30A3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730A3"/>
      <name val="Arial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92400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DE2E1"/>
        <bgColor rgb="FFEDE9FE"/>
      </patternFill>
    </fill>
    <fill>
      <patternFill patternType="solid">
        <fgColor rgb="FFFEF3C7"/>
        <bgColor rgb="FFFDE2E1"/>
      </patternFill>
    </fill>
    <fill>
      <patternFill patternType="solid">
        <fgColor rgb="FFE7F7EC"/>
        <bgColor rgb="FFEEF2F7"/>
      </patternFill>
    </fill>
    <fill>
      <patternFill patternType="solid">
        <fgColor rgb="FFEEF2F7"/>
        <bgColor rgb="FFF5F7FB"/>
      </patternFill>
    </fill>
    <fill>
      <patternFill patternType="solid">
        <fgColor rgb="FF0EA5E9"/>
        <bgColor rgb="FF33CCCC"/>
      </patternFill>
    </fill>
    <fill>
      <patternFill patternType="solid">
        <fgColor rgb="FFF5F7FB"/>
        <bgColor rgb="FFEEF2F7"/>
      </patternFill>
    </fill>
    <fill>
      <patternFill patternType="solid">
        <fgColor rgb="FF3730A3"/>
        <bgColor rgb="FF5B21B6"/>
      </patternFill>
    </fill>
    <fill>
      <patternFill patternType="solid">
        <fgColor rgb="FF4F46E5"/>
        <bgColor rgb="FF1D4E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6"/>
      </left>
      <right style="thin">
        <color rgb="FFD5DBE6"/>
      </right>
      <top style="thin">
        <color rgb="FFD5DBE6"/>
      </top>
      <bottom style="thin">
        <color rgb="FFD5DB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4F46E5"/>
          <bgColor rgb="FF000000"/>
        </patternFill>
      </fill>
    </dxf>
    <dxf>
      <fill>
        <patternFill patternType="solid">
          <fgColor rgb="FFF5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30A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b val="1"/>
        <color rgb="FF166534"/>
      </font>
      <fill>
        <patternFill>
          <bgColor rgb="FFE7F7EC"/>
        </patternFill>
      </fill>
    </dxf>
    <dxf>
      <font>
        <b val="1"/>
        <color rgb="FF1D4ED8"/>
      </font>
      <fill>
        <patternFill>
          <bgColor rgb="FFDBEAFE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B91C1C"/>
      </font>
      <fill>
        <patternFill>
          <bgColor rgb="FFFDE2E1"/>
        </patternFill>
      </fill>
    </dxf>
    <dxf>
      <font>
        <b val="1"/>
        <color rgb="FF5B21B6"/>
      </font>
      <fill>
        <patternFill>
          <bgColor rgb="FFEDE9FE"/>
        </patternFill>
      </fill>
    </dxf>
    <dxf>
      <font>
        <b val="1"/>
        <color rgb="FF64748B"/>
      </font>
      <fill>
        <patternFill>
          <bgColor rgb="FFEEF2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5B21B6"/>
      <rgbColor rgb="FF008080"/>
      <rgbColor rgb="FFEDE9FE"/>
      <rgbColor rgb="FF808080"/>
      <rgbColor rgb="FF9999FF"/>
      <rgbColor rgb="FFB91C1C"/>
      <rgbColor rgb="FFFEF3C7"/>
      <rgbColor rgb="FFE7F7EC"/>
      <rgbColor rgb="FF660066"/>
      <rgbColor rgb="FFFF8080"/>
      <rgbColor rgb="FF1D4ED8"/>
      <rgbColor rgb="FFD5D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DBEAFE"/>
      <rgbColor rgb="FFEEF2F7"/>
      <rgbColor rgb="FFF5F7FB"/>
      <rgbColor rgb="FF99CCFF"/>
      <rgbColor rgb="FFFF99CC"/>
      <rgbColor rgb="FFCC99FF"/>
      <rgbColor rgb="FFFDE2E1"/>
      <rgbColor rgb="FF4F46E5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2400E"/>
      <rgbColor rgb="FF993366"/>
      <rgbColor rgb="FF3730A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2" customFormat="false" ht="24.4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  <row r="12" customFormat="false" ht="23.85" hidden="false" customHeight="false" outlineLevel="0" collapsed="false">
      <c r="B12" s="3" t="s">
        <v>16</v>
      </c>
      <c r="C12" s="4" t="s">
        <v>17</v>
      </c>
    </row>
    <row r="13" customFormat="false" ht="15" hidden="false" customHeight="false" outlineLevel="0" collapsed="false">
      <c r="B13" s="3" t="s">
        <v>18</v>
      </c>
      <c r="C13" s="4" t="s">
        <v>19</v>
      </c>
    </row>
    <row r="15" customFormat="false" ht="15" hidden="false" customHeight="false" outlineLevel="0" collapsed="false">
      <c r="B15" s="5" t="s">
        <v>20</v>
      </c>
    </row>
    <row r="16" customFormat="false" ht="15" hidden="false" customHeight="false" outlineLevel="0" collapsed="false">
      <c r="B16" s="6" t="s">
        <v>21</v>
      </c>
      <c r="C16" s="7" t="s">
        <v>22</v>
      </c>
    </row>
    <row r="17" customFormat="false" ht="15" hidden="false" customHeight="false" outlineLevel="0" collapsed="false">
      <c r="B17" s="8" t="s">
        <v>23</v>
      </c>
      <c r="C17" s="7" t="s">
        <v>24</v>
      </c>
    </row>
    <row r="18" customFormat="false" ht="15" hidden="false" customHeight="false" outlineLevel="0" collapsed="false">
      <c r="B18" s="9" t="s">
        <v>25</v>
      </c>
      <c r="C18" s="7" t="s">
        <v>26</v>
      </c>
    </row>
    <row r="19" customFormat="false" ht="15" hidden="false" customHeight="false" outlineLevel="0" collapsed="false">
      <c r="B19" s="10" t="s">
        <v>27</v>
      </c>
      <c r="C19" s="7" t="s">
        <v>28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">
        <v>29</v>
      </c>
      <c r="B1" s="11" t="s">
        <v>30</v>
      </c>
      <c r="C1" s="11" t="s">
        <v>12</v>
      </c>
      <c r="D1" s="11" t="s">
        <v>21</v>
      </c>
      <c r="E1" s="11" t="s">
        <v>31</v>
      </c>
      <c r="F1" s="11" t="s">
        <v>32</v>
      </c>
    </row>
    <row r="2" customFormat="false" ht="15" hidden="false" customHeight="false" outlineLevel="0" collapsed="false">
      <c r="A2" s="12" t="s">
        <v>33</v>
      </c>
      <c r="B2" s="13" t="s">
        <v>34</v>
      </c>
      <c r="C2" s="14" t="n">
        <f aca="false">COUNTIF(Backlog!$B$2:$B$29,$A2&amp;"*")</f>
        <v>2</v>
      </c>
      <c r="D2" s="14" t="n">
        <v>2</v>
      </c>
      <c r="E2" s="14" t="n">
        <v>0</v>
      </c>
      <c r="F2" s="13" t="s">
        <v>35</v>
      </c>
    </row>
    <row r="3" customFormat="false" ht="15" hidden="false" customHeight="false" outlineLevel="0" collapsed="false">
      <c r="A3" s="15" t="s">
        <v>36</v>
      </c>
      <c r="B3" s="16" t="s">
        <v>37</v>
      </c>
      <c r="C3" s="17" t="n">
        <f aca="false">COUNTIF(Backlog!$B$2:$B$29,$A3&amp;"*")</f>
        <v>2</v>
      </c>
      <c r="D3" s="17" t="n">
        <v>2</v>
      </c>
      <c r="E3" s="17" t="n">
        <v>0</v>
      </c>
      <c r="F3" s="16" t="s">
        <v>35</v>
      </c>
    </row>
    <row r="4" customFormat="false" ht="15" hidden="false" customHeight="false" outlineLevel="0" collapsed="false">
      <c r="A4" s="12" t="s">
        <v>38</v>
      </c>
      <c r="B4" s="13" t="s">
        <v>39</v>
      </c>
      <c r="C4" s="14" t="n">
        <f aca="false">COUNTIF(Backlog!$B$2:$B$29,$A4&amp;"*")</f>
        <v>7</v>
      </c>
      <c r="D4" s="14" t="n">
        <v>5</v>
      </c>
      <c r="E4" s="14" t="n">
        <v>2</v>
      </c>
      <c r="F4" s="13" t="s">
        <v>40</v>
      </c>
    </row>
    <row r="5" customFormat="false" ht="15" hidden="false" customHeight="false" outlineLevel="0" collapsed="false">
      <c r="A5" s="15" t="s">
        <v>41</v>
      </c>
      <c r="B5" s="16" t="s">
        <v>42</v>
      </c>
      <c r="C5" s="17" t="n">
        <f aca="false">COUNTIF(Backlog!$B$2:$B$29,$A5&amp;"*")</f>
        <v>4</v>
      </c>
      <c r="D5" s="17" t="n">
        <v>3</v>
      </c>
      <c r="E5" s="17" t="n">
        <v>1</v>
      </c>
      <c r="F5" s="16" t="s">
        <v>40</v>
      </c>
    </row>
    <row r="6" customFormat="false" ht="15" hidden="false" customHeight="false" outlineLevel="0" collapsed="false">
      <c r="A6" s="12" t="s">
        <v>43</v>
      </c>
      <c r="B6" s="13" t="s">
        <v>44</v>
      </c>
      <c r="C6" s="14" t="n">
        <f aca="false">COUNTIF(Backlog!$B$2:$B$29,$A6&amp;"*")</f>
        <v>3</v>
      </c>
      <c r="D6" s="14" t="n">
        <v>2</v>
      </c>
      <c r="E6" s="14" t="n">
        <v>1</v>
      </c>
      <c r="F6" s="13" t="s">
        <v>40</v>
      </c>
    </row>
    <row r="7" customFormat="false" ht="15" hidden="false" customHeight="false" outlineLevel="0" collapsed="false">
      <c r="A7" s="15" t="s">
        <v>45</v>
      </c>
      <c r="B7" s="16" t="s">
        <v>46</v>
      </c>
      <c r="C7" s="17" t="n">
        <f aca="false">COUNTIF(Backlog!$B$2:$B$29,$A7&amp;"*")</f>
        <v>6</v>
      </c>
      <c r="D7" s="17" t="n">
        <v>5</v>
      </c>
      <c r="E7" s="17" t="n">
        <v>1</v>
      </c>
      <c r="F7" s="16" t="s">
        <v>47</v>
      </c>
    </row>
    <row r="8" customFormat="false" ht="15" hidden="false" customHeight="false" outlineLevel="0" collapsed="false">
      <c r="A8" s="12" t="s">
        <v>48</v>
      </c>
      <c r="B8" s="13" t="s">
        <v>49</v>
      </c>
      <c r="C8" s="14" t="n">
        <f aca="false">COUNTIF(Backlog!$B$2:$B$29,$A8&amp;"*")</f>
        <v>4</v>
      </c>
      <c r="D8" s="14" t="n">
        <v>3</v>
      </c>
      <c r="E8" s="14" t="n">
        <v>1</v>
      </c>
      <c r="F8" s="13" t="s">
        <v>47</v>
      </c>
    </row>
    <row r="9" customFormat="false" ht="15" hidden="false" customHeight="false" outlineLevel="0" collapsed="false">
      <c r="A9" s="18"/>
      <c r="B9" s="19" t="s">
        <v>50</v>
      </c>
      <c r="C9" s="18" t="n">
        <f aca="false">SUM(C2:C8)</f>
        <v>28</v>
      </c>
      <c r="D9" s="18" t="n">
        <f aca="false">SUM(D2:D8)</f>
        <v>22</v>
      </c>
      <c r="E9" s="18" t="n">
        <f aca="false">SUM(E2:E8)</f>
        <v>6</v>
      </c>
      <c r="F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20" t="s">
        <v>51</v>
      </c>
      <c r="B1" s="20" t="s">
        <v>29</v>
      </c>
      <c r="C1" s="20" t="s">
        <v>52</v>
      </c>
      <c r="D1" s="20" t="s">
        <v>53</v>
      </c>
      <c r="E1" s="20" t="s">
        <v>54</v>
      </c>
      <c r="F1" s="20" t="s">
        <v>55</v>
      </c>
      <c r="G1" s="20" t="s">
        <v>56</v>
      </c>
      <c r="H1" s="20" t="s">
        <v>57</v>
      </c>
      <c r="I1" s="20" t="s">
        <v>58</v>
      </c>
      <c r="J1" s="20" t="s">
        <v>59</v>
      </c>
      <c r="K1" s="20" t="s">
        <v>60</v>
      </c>
    </row>
    <row r="2" customFormat="false" ht="53.7" hidden="false" customHeight="false" outlineLevel="0" collapsed="false">
      <c r="A2" s="21" t="s">
        <v>61</v>
      </c>
      <c r="B2" s="22" t="s">
        <v>62</v>
      </c>
      <c r="C2" s="22" t="s">
        <v>63</v>
      </c>
      <c r="D2" s="22" t="s">
        <v>64</v>
      </c>
      <c r="E2" s="22" t="s">
        <v>65</v>
      </c>
      <c r="F2" s="23" t="s">
        <v>21</v>
      </c>
      <c r="G2" s="24" t="s">
        <v>66</v>
      </c>
      <c r="H2" s="22" t="s">
        <v>67</v>
      </c>
      <c r="I2" s="22" t="s">
        <v>68</v>
      </c>
      <c r="J2" s="22" t="s">
        <v>69</v>
      </c>
      <c r="K2" s="24" t="s">
        <v>70</v>
      </c>
    </row>
    <row r="3" customFormat="false" ht="32.8" hidden="false" customHeight="false" outlineLevel="0" collapsed="false">
      <c r="A3" s="25" t="s">
        <v>71</v>
      </c>
      <c r="B3" s="26" t="s">
        <v>62</v>
      </c>
      <c r="C3" s="26" t="s">
        <v>72</v>
      </c>
      <c r="D3" s="26" t="s">
        <v>73</v>
      </c>
      <c r="E3" s="26" t="s">
        <v>74</v>
      </c>
      <c r="F3" s="23" t="s">
        <v>21</v>
      </c>
      <c r="G3" s="27" t="s">
        <v>66</v>
      </c>
      <c r="H3" s="26" t="s">
        <v>67</v>
      </c>
      <c r="I3" s="26" t="s">
        <v>75</v>
      </c>
      <c r="J3" s="26" t="s">
        <v>76</v>
      </c>
      <c r="K3" s="27" t="s">
        <v>70</v>
      </c>
    </row>
    <row r="4" customFormat="false" ht="32.8" hidden="false" customHeight="false" outlineLevel="0" collapsed="false">
      <c r="A4" s="21" t="s">
        <v>77</v>
      </c>
      <c r="B4" s="22" t="s">
        <v>62</v>
      </c>
      <c r="C4" s="22" t="s">
        <v>78</v>
      </c>
      <c r="D4" s="22" t="s">
        <v>79</v>
      </c>
      <c r="E4" s="22" t="s">
        <v>80</v>
      </c>
      <c r="F4" s="23" t="s">
        <v>21</v>
      </c>
      <c r="G4" s="24" t="s">
        <v>81</v>
      </c>
      <c r="H4" s="22" t="s">
        <v>67</v>
      </c>
      <c r="I4" s="22" t="s">
        <v>82</v>
      </c>
      <c r="J4" s="22" t="s">
        <v>83</v>
      </c>
      <c r="K4" s="24" t="s">
        <v>70</v>
      </c>
    </row>
    <row r="5" customFormat="false" ht="32.8" hidden="false" customHeight="false" outlineLevel="0" collapsed="false">
      <c r="A5" s="25" t="s">
        <v>84</v>
      </c>
      <c r="B5" s="26" t="s">
        <v>62</v>
      </c>
      <c r="C5" s="26" t="s">
        <v>85</v>
      </c>
      <c r="D5" s="26" t="s">
        <v>86</v>
      </c>
      <c r="E5" s="26" t="s">
        <v>87</v>
      </c>
      <c r="F5" s="28" t="s">
        <v>23</v>
      </c>
      <c r="G5" s="27" t="s">
        <v>66</v>
      </c>
      <c r="H5" s="26" t="s">
        <v>67</v>
      </c>
      <c r="I5" s="26" t="s">
        <v>88</v>
      </c>
      <c r="J5" s="26" t="s">
        <v>89</v>
      </c>
      <c r="K5" s="27" t="s">
        <v>70</v>
      </c>
    </row>
    <row r="6" customFormat="false" ht="43.25" hidden="false" customHeight="false" outlineLevel="0" collapsed="false">
      <c r="A6" s="21" t="s">
        <v>90</v>
      </c>
      <c r="B6" s="22" t="s">
        <v>62</v>
      </c>
      <c r="C6" s="22" t="s">
        <v>91</v>
      </c>
      <c r="D6" s="22" t="s">
        <v>92</v>
      </c>
      <c r="E6" s="22" t="s">
        <v>93</v>
      </c>
      <c r="F6" s="28" t="s">
        <v>23</v>
      </c>
      <c r="G6" s="24" t="s">
        <v>81</v>
      </c>
      <c r="H6" s="22" t="s">
        <v>67</v>
      </c>
      <c r="I6" s="22" t="s">
        <v>94</v>
      </c>
      <c r="J6" s="22" t="s">
        <v>83</v>
      </c>
      <c r="K6" s="24" t="s">
        <v>70</v>
      </c>
    </row>
    <row r="7" customFormat="false" ht="43.25" hidden="false" customHeight="false" outlineLevel="0" collapsed="false">
      <c r="A7" s="25" t="s">
        <v>95</v>
      </c>
      <c r="B7" s="26" t="s">
        <v>62</v>
      </c>
      <c r="C7" s="26" t="s">
        <v>96</v>
      </c>
      <c r="D7" s="26" t="s">
        <v>97</v>
      </c>
      <c r="E7" s="26" t="s">
        <v>98</v>
      </c>
      <c r="F7" s="23" t="s">
        <v>21</v>
      </c>
      <c r="G7" s="27" t="s">
        <v>66</v>
      </c>
      <c r="H7" s="26" t="s">
        <v>99</v>
      </c>
      <c r="I7" s="26" t="s">
        <v>100</v>
      </c>
      <c r="J7" s="26" t="s">
        <v>101</v>
      </c>
      <c r="K7" s="27" t="s">
        <v>70</v>
      </c>
    </row>
    <row r="8" customFormat="false" ht="32.8" hidden="false" customHeight="false" outlineLevel="0" collapsed="false">
      <c r="A8" s="21" t="s">
        <v>102</v>
      </c>
      <c r="B8" s="22" t="s">
        <v>62</v>
      </c>
      <c r="C8" s="22" t="s">
        <v>103</v>
      </c>
      <c r="D8" s="22" t="s">
        <v>104</v>
      </c>
      <c r="E8" s="22" t="s">
        <v>105</v>
      </c>
      <c r="F8" s="23" t="s">
        <v>21</v>
      </c>
      <c r="G8" s="24" t="s">
        <v>66</v>
      </c>
      <c r="H8" s="22" t="s">
        <v>67</v>
      </c>
      <c r="I8" s="22" t="s">
        <v>68</v>
      </c>
      <c r="J8" s="22" t="s">
        <v>106</v>
      </c>
      <c r="K8" s="24" t="s">
        <v>70</v>
      </c>
    </row>
    <row r="9" customFormat="false" ht="32.8" hidden="false" customHeight="false" outlineLevel="0" collapsed="false">
      <c r="A9" s="25" t="s">
        <v>107</v>
      </c>
      <c r="B9" s="26" t="s">
        <v>108</v>
      </c>
      <c r="C9" s="26" t="s">
        <v>109</v>
      </c>
      <c r="D9" s="26" t="s">
        <v>110</v>
      </c>
      <c r="E9" s="26" t="s">
        <v>111</v>
      </c>
      <c r="F9" s="23" t="s">
        <v>21</v>
      </c>
      <c r="G9" s="27" t="s">
        <v>66</v>
      </c>
      <c r="H9" s="26" t="s">
        <v>112</v>
      </c>
      <c r="I9" s="26" t="s">
        <v>113</v>
      </c>
      <c r="J9" s="26" t="s">
        <v>114</v>
      </c>
      <c r="K9" s="27" t="s">
        <v>70</v>
      </c>
    </row>
    <row r="10" customFormat="false" ht="43.25" hidden="false" customHeight="false" outlineLevel="0" collapsed="false">
      <c r="A10" s="21" t="s">
        <v>115</v>
      </c>
      <c r="B10" s="22" t="s">
        <v>108</v>
      </c>
      <c r="C10" s="22" t="s">
        <v>116</v>
      </c>
      <c r="D10" s="22" t="s">
        <v>117</v>
      </c>
      <c r="E10" s="22" t="s">
        <v>118</v>
      </c>
      <c r="F10" s="23" t="s">
        <v>21</v>
      </c>
      <c r="G10" s="24" t="s">
        <v>81</v>
      </c>
      <c r="H10" s="22" t="s">
        <v>119</v>
      </c>
      <c r="I10" s="22" t="s">
        <v>107</v>
      </c>
      <c r="J10" s="22" t="s">
        <v>120</v>
      </c>
      <c r="K10" s="24" t="s">
        <v>70</v>
      </c>
    </row>
    <row r="11" customFormat="false" ht="32.8" hidden="false" customHeight="false" outlineLevel="0" collapsed="false">
      <c r="A11" s="25" t="s">
        <v>121</v>
      </c>
      <c r="B11" s="26" t="s">
        <v>108</v>
      </c>
      <c r="C11" s="26" t="s">
        <v>122</v>
      </c>
      <c r="D11" s="26" t="s">
        <v>123</v>
      </c>
      <c r="E11" s="26" t="s">
        <v>124</v>
      </c>
      <c r="F11" s="23" t="s">
        <v>21</v>
      </c>
      <c r="G11" s="27" t="s">
        <v>66</v>
      </c>
      <c r="H11" s="26" t="s">
        <v>99</v>
      </c>
      <c r="I11" s="26" t="s">
        <v>125</v>
      </c>
      <c r="J11" s="26" t="s">
        <v>83</v>
      </c>
      <c r="K11" s="27" t="s">
        <v>70</v>
      </c>
    </row>
    <row r="12" customFormat="false" ht="22.35" hidden="false" customHeight="false" outlineLevel="0" collapsed="false">
      <c r="A12" s="21" t="s">
        <v>126</v>
      </c>
      <c r="B12" s="22" t="s">
        <v>108</v>
      </c>
      <c r="C12" s="22" t="s">
        <v>127</v>
      </c>
      <c r="D12" s="22" t="s">
        <v>128</v>
      </c>
      <c r="E12" s="22" t="s">
        <v>129</v>
      </c>
      <c r="F12" s="28" t="s">
        <v>23</v>
      </c>
      <c r="G12" s="24" t="s">
        <v>130</v>
      </c>
      <c r="H12" s="22" t="s">
        <v>119</v>
      </c>
      <c r="I12" s="22" t="s">
        <v>115</v>
      </c>
      <c r="J12" s="22" t="s">
        <v>131</v>
      </c>
      <c r="K12" s="24" t="s">
        <v>70</v>
      </c>
    </row>
    <row r="13" customFormat="false" ht="43.25" hidden="false" customHeight="false" outlineLevel="0" collapsed="false">
      <c r="A13" s="25" t="s">
        <v>132</v>
      </c>
      <c r="B13" s="26" t="s">
        <v>133</v>
      </c>
      <c r="C13" s="26" t="s">
        <v>134</v>
      </c>
      <c r="D13" s="26" t="s">
        <v>135</v>
      </c>
      <c r="E13" s="26" t="s">
        <v>136</v>
      </c>
      <c r="F13" s="23" t="s">
        <v>21</v>
      </c>
      <c r="G13" s="27" t="s">
        <v>81</v>
      </c>
      <c r="H13" s="26" t="s">
        <v>119</v>
      </c>
      <c r="I13" s="26" t="s">
        <v>137</v>
      </c>
      <c r="J13" s="26" t="s">
        <v>138</v>
      </c>
      <c r="K13" s="27" t="s">
        <v>70</v>
      </c>
    </row>
    <row r="14" customFormat="false" ht="43.25" hidden="false" customHeight="false" outlineLevel="0" collapsed="false">
      <c r="A14" s="21" t="s">
        <v>139</v>
      </c>
      <c r="B14" s="22" t="s">
        <v>133</v>
      </c>
      <c r="C14" s="22" t="s">
        <v>140</v>
      </c>
      <c r="D14" s="22" t="s">
        <v>141</v>
      </c>
      <c r="E14" s="22" t="s">
        <v>142</v>
      </c>
      <c r="F14" s="23" t="s">
        <v>21</v>
      </c>
      <c r="G14" s="24" t="s">
        <v>81</v>
      </c>
      <c r="H14" s="22" t="s">
        <v>67</v>
      </c>
      <c r="I14" s="22" t="s">
        <v>132</v>
      </c>
      <c r="J14" s="22" t="s">
        <v>143</v>
      </c>
      <c r="K14" s="24" t="s">
        <v>70</v>
      </c>
    </row>
    <row r="15" customFormat="false" ht="43.25" hidden="false" customHeight="false" outlineLevel="0" collapsed="false">
      <c r="A15" s="25" t="s">
        <v>144</v>
      </c>
      <c r="B15" s="26" t="s">
        <v>133</v>
      </c>
      <c r="C15" s="26" t="s">
        <v>145</v>
      </c>
      <c r="D15" s="26" t="s">
        <v>146</v>
      </c>
      <c r="E15" s="26" t="s">
        <v>147</v>
      </c>
      <c r="F15" s="28" t="s">
        <v>23</v>
      </c>
      <c r="G15" s="27" t="s">
        <v>81</v>
      </c>
      <c r="H15" s="26" t="s">
        <v>67</v>
      </c>
      <c r="I15" s="26" t="s">
        <v>148</v>
      </c>
      <c r="J15" s="26" t="s">
        <v>149</v>
      </c>
      <c r="K15" s="27" t="s">
        <v>70</v>
      </c>
    </row>
    <row r="16" customFormat="false" ht="32.8" hidden="false" customHeight="false" outlineLevel="0" collapsed="false">
      <c r="A16" s="21" t="s">
        <v>150</v>
      </c>
      <c r="B16" s="22" t="s">
        <v>133</v>
      </c>
      <c r="C16" s="22" t="s">
        <v>151</v>
      </c>
      <c r="D16" s="22" t="s">
        <v>152</v>
      </c>
      <c r="E16" s="22" t="s">
        <v>153</v>
      </c>
      <c r="F16" s="23" t="s">
        <v>21</v>
      </c>
      <c r="G16" s="24" t="s">
        <v>66</v>
      </c>
      <c r="H16" s="22" t="s">
        <v>67</v>
      </c>
      <c r="I16" s="22" t="s">
        <v>139</v>
      </c>
      <c r="J16" s="22" t="s">
        <v>154</v>
      </c>
      <c r="K16" s="24" t="s">
        <v>70</v>
      </c>
    </row>
    <row r="17" customFormat="false" ht="32.8" hidden="false" customHeight="false" outlineLevel="0" collapsed="false">
      <c r="A17" s="25" t="s">
        <v>155</v>
      </c>
      <c r="B17" s="26" t="s">
        <v>133</v>
      </c>
      <c r="C17" s="26" t="s">
        <v>156</v>
      </c>
      <c r="D17" s="26" t="s">
        <v>157</v>
      </c>
      <c r="E17" s="26" t="s">
        <v>158</v>
      </c>
      <c r="F17" s="23" t="s">
        <v>21</v>
      </c>
      <c r="G17" s="27" t="s">
        <v>66</v>
      </c>
      <c r="H17" s="26" t="s">
        <v>67</v>
      </c>
      <c r="I17" s="26" t="s">
        <v>159</v>
      </c>
      <c r="J17" s="26" t="s">
        <v>160</v>
      </c>
      <c r="K17" s="27" t="s">
        <v>70</v>
      </c>
    </row>
    <row r="18" customFormat="false" ht="32.8" hidden="false" customHeight="false" outlineLevel="0" collapsed="false">
      <c r="A18" s="21" t="s">
        <v>161</v>
      </c>
      <c r="B18" s="22" t="s">
        <v>133</v>
      </c>
      <c r="C18" s="22" t="s">
        <v>162</v>
      </c>
      <c r="D18" s="22" t="s">
        <v>163</v>
      </c>
      <c r="E18" s="22" t="s">
        <v>164</v>
      </c>
      <c r="F18" s="23" t="s">
        <v>21</v>
      </c>
      <c r="G18" s="24" t="s">
        <v>66</v>
      </c>
      <c r="H18" s="22" t="s">
        <v>67</v>
      </c>
      <c r="I18" s="22" t="s">
        <v>139</v>
      </c>
      <c r="J18" s="22" t="s">
        <v>165</v>
      </c>
      <c r="K18" s="24" t="s">
        <v>70</v>
      </c>
    </row>
    <row r="19" customFormat="false" ht="32.8" hidden="false" customHeight="false" outlineLevel="0" collapsed="false">
      <c r="A19" s="25" t="s">
        <v>166</v>
      </c>
      <c r="B19" s="26" t="s">
        <v>167</v>
      </c>
      <c r="C19" s="26" t="s">
        <v>168</v>
      </c>
      <c r="D19" s="26" t="s">
        <v>169</v>
      </c>
      <c r="E19" s="26" t="s">
        <v>170</v>
      </c>
      <c r="F19" s="23" t="s">
        <v>21</v>
      </c>
      <c r="G19" s="27" t="s">
        <v>130</v>
      </c>
      <c r="H19" s="26" t="s">
        <v>99</v>
      </c>
      <c r="I19" s="26" t="s">
        <v>171</v>
      </c>
      <c r="J19" s="26" t="s">
        <v>172</v>
      </c>
      <c r="K19" s="27" t="s">
        <v>70</v>
      </c>
    </row>
    <row r="20" customFormat="false" ht="32.8" hidden="false" customHeight="false" outlineLevel="0" collapsed="false">
      <c r="A20" s="21" t="s">
        <v>173</v>
      </c>
      <c r="B20" s="22" t="s">
        <v>167</v>
      </c>
      <c r="C20" s="22" t="s">
        <v>174</v>
      </c>
      <c r="D20" s="22" t="s">
        <v>175</v>
      </c>
      <c r="E20" s="22" t="s">
        <v>176</v>
      </c>
      <c r="F20" s="23" t="s">
        <v>21</v>
      </c>
      <c r="G20" s="24" t="s">
        <v>130</v>
      </c>
      <c r="H20" s="22" t="s">
        <v>99</v>
      </c>
      <c r="I20" s="22" t="s">
        <v>166</v>
      </c>
      <c r="J20" s="22"/>
      <c r="K20" s="24" t="s">
        <v>70</v>
      </c>
    </row>
    <row r="21" customFormat="false" ht="32.8" hidden="false" customHeight="false" outlineLevel="0" collapsed="false">
      <c r="A21" s="25" t="s">
        <v>177</v>
      </c>
      <c r="B21" s="26" t="s">
        <v>178</v>
      </c>
      <c r="C21" s="26" t="s">
        <v>179</v>
      </c>
      <c r="D21" s="26" t="s">
        <v>180</v>
      </c>
      <c r="E21" s="26" t="s">
        <v>181</v>
      </c>
      <c r="F21" s="23" t="s">
        <v>21</v>
      </c>
      <c r="G21" s="27" t="s">
        <v>81</v>
      </c>
      <c r="H21" s="26" t="s">
        <v>99</v>
      </c>
      <c r="I21" s="26" t="s">
        <v>182</v>
      </c>
      <c r="J21" s="26" t="s">
        <v>183</v>
      </c>
      <c r="K21" s="27" t="s">
        <v>70</v>
      </c>
    </row>
    <row r="22" customFormat="false" ht="32.8" hidden="false" customHeight="false" outlineLevel="0" collapsed="false">
      <c r="A22" s="21" t="s">
        <v>184</v>
      </c>
      <c r="B22" s="22" t="s">
        <v>178</v>
      </c>
      <c r="C22" s="22" t="s">
        <v>185</v>
      </c>
      <c r="D22" s="22" t="s">
        <v>186</v>
      </c>
      <c r="E22" s="22" t="s">
        <v>187</v>
      </c>
      <c r="F22" s="23" t="s">
        <v>21</v>
      </c>
      <c r="G22" s="24" t="s">
        <v>81</v>
      </c>
      <c r="H22" s="22" t="s">
        <v>188</v>
      </c>
      <c r="I22" s="22" t="s">
        <v>177</v>
      </c>
      <c r="J22" s="22" t="s">
        <v>189</v>
      </c>
      <c r="K22" s="24" t="s">
        <v>70</v>
      </c>
    </row>
    <row r="23" customFormat="false" ht="32.8" hidden="false" customHeight="false" outlineLevel="0" collapsed="false">
      <c r="A23" s="25" t="s">
        <v>190</v>
      </c>
      <c r="B23" s="26" t="s">
        <v>178</v>
      </c>
      <c r="C23" s="26" t="s">
        <v>191</v>
      </c>
      <c r="D23" s="26" t="s">
        <v>192</v>
      </c>
      <c r="E23" s="26" t="s">
        <v>193</v>
      </c>
      <c r="F23" s="28" t="s">
        <v>23</v>
      </c>
      <c r="G23" s="27" t="s">
        <v>66</v>
      </c>
      <c r="H23" s="26" t="s">
        <v>194</v>
      </c>
      <c r="I23" s="26" t="s">
        <v>195</v>
      </c>
      <c r="J23" s="26"/>
      <c r="K23" s="27" t="s">
        <v>70</v>
      </c>
    </row>
    <row r="24" customFormat="false" ht="32.8" hidden="false" customHeight="false" outlineLevel="0" collapsed="false">
      <c r="A24" s="21" t="s">
        <v>196</v>
      </c>
      <c r="B24" s="22" t="s">
        <v>178</v>
      </c>
      <c r="C24" s="22" t="s">
        <v>197</v>
      </c>
      <c r="D24" s="22" t="s">
        <v>198</v>
      </c>
      <c r="E24" s="22" t="s">
        <v>199</v>
      </c>
      <c r="F24" s="23" t="s">
        <v>21</v>
      </c>
      <c r="G24" s="24" t="s">
        <v>66</v>
      </c>
      <c r="H24" s="22" t="s">
        <v>194</v>
      </c>
      <c r="I24" s="22" t="s">
        <v>177</v>
      </c>
      <c r="J24" s="22" t="s">
        <v>200</v>
      </c>
      <c r="K24" s="24" t="s">
        <v>70</v>
      </c>
    </row>
    <row r="25" customFormat="false" ht="32.8" hidden="false" customHeight="false" outlineLevel="0" collapsed="false">
      <c r="A25" s="25" t="s">
        <v>201</v>
      </c>
      <c r="B25" s="26" t="s">
        <v>202</v>
      </c>
      <c r="C25" s="26" t="s">
        <v>203</v>
      </c>
      <c r="D25" s="26" t="s">
        <v>204</v>
      </c>
      <c r="E25" s="26" t="s">
        <v>205</v>
      </c>
      <c r="F25" s="23" t="s">
        <v>21</v>
      </c>
      <c r="G25" s="27" t="s">
        <v>130</v>
      </c>
      <c r="H25" s="26" t="s">
        <v>206</v>
      </c>
      <c r="I25" s="26" t="s">
        <v>207</v>
      </c>
      <c r="J25" s="26" t="s">
        <v>208</v>
      </c>
      <c r="K25" s="27" t="s">
        <v>70</v>
      </c>
    </row>
    <row r="26" customFormat="false" ht="32.8" hidden="false" customHeight="false" outlineLevel="0" collapsed="false">
      <c r="A26" s="21" t="s">
        <v>209</v>
      </c>
      <c r="B26" s="22" t="s">
        <v>202</v>
      </c>
      <c r="C26" s="22" t="s">
        <v>210</v>
      </c>
      <c r="D26" s="22" t="s">
        <v>211</v>
      </c>
      <c r="E26" s="22" t="s">
        <v>212</v>
      </c>
      <c r="F26" s="23" t="s">
        <v>21</v>
      </c>
      <c r="G26" s="24" t="s">
        <v>66</v>
      </c>
      <c r="H26" s="22" t="s">
        <v>67</v>
      </c>
      <c r="I26" s="22" t="s">
        <v>201</v>
      </c>
      <c r="J26" s="22" t="s">
        <v>213</v>
      </c>
      <c r="K26" s="24" t="s">
        <v>70</v>
      </c>
    </row>
    <row r="27" customFormat="false" ht="43.25" hidden="false" customHeight="false" outlineLevel="0" collapsed="false">
      <c r="A27" s="25" t="s">
        <v>214</v>
      </c>
      <c r="B27" s="26" t="s">
        <v>202</v>
      </c>
      <c r="C27" s="26" t="s">
        <v>215</v>
      </c>
      <c r="D27" s="26" t="s">
        <v>216</v>
      </c>
      <c r="E27" s="26" t="s">
        <v>217</v>
      </c>
      <c r="F27" s="28" t="s">
        <v>23</v>
      </c>
      <c r="G27" s="27" t="s">
        <v>66</v>
      </c>
      <c r="H27" s="26" t="s">
        <v>119</v>
      </c>
      <c r="I27" s="26" t="s">
        <v>209</v>
      </c>
      <c r="J27" s="26" t="s">
        <v>218</v>
      </c>
      <c r="K27" s="27" t="s">
        <v>70</v>
      </c>
    </row>
    <row r="28" customFormat="false" ht="22.35" hidden="false" customHeight="false" outlineLevel="0" collapsed="false">
      <c r="A28" s="21" t="s">
        <v>219</v>
      </c>
      <c r="B28" s="22" t="s">
        <v>220</v>
      </c>
      <c r="C28" s="22" t="s">
        <v>221</v>
      </c>
      <c r="D28" s="22" t="s">
        <v>222</v>
      </c>
      <c r="E28" s="22" t="s">
        <v>223</v>
      </c>
      <c r="F28" s="23" t="s">
        <v>21</v>
      </c>
      <c r="G28" s="24" t="s">
        <v>130</v>
      </c>
      <c r="H28" s="22" t="s">
        <v>99</v>
      </c>
      <c r="I28" s="22" t="s">
        <v>137</v>
      </c>
      <c r="J28" s="22" t="s">
        <v>224</v>
      </c>
      <c r="K28" s="24" t="s">
        <v>70</v>
      </c>
    </row>
    <row r="29" customFormat="false" ht="32.8" hidden="false" customHeight="false" outlineLevel="0" collapsed="false">
      <c r="A29" s="25" t="s">
        <v>225</v>
      </c>
      <c r="B29" s="26" t="s">
        <v>220</v>
      </c>
      <c r="C29" s="26" t="s">
        <v>226</v>
      </c>
      <c r="D29" s="26" t="s">
        <v>227</v>
      </c>
      <c r="E29" s="26" t="s">
        <v>228</v>
      </c>
      <c r="F29" s="23" t="s">
        <v>21</v>
      </c>
      <c r="G29" s="27" t="s">
        <v>66</v>
      </c>
      <c r="H29" s="26" t="s">
        <v>99</v>
      </c>
      <c r="I29" s="26" t="s">
        <v>219</v>
      </c>
      <c r="J29" s="26" t="s">
        <v>229</v>
      </c>
      <c r="K29" s="27" t="s">
        <v>70</v>
      </c>
    </row>
  </sheetData>
  <autoFilter ref="A1:K29"/>
  <conditionalFormatting sqref="K2:K29">
    <cfRule type="cellIs" priority="2" operator="equal" aboveAverage="0" equalAverage="0" bottom="0" percent="0" rank="0" text="" dxfId="12">
      <formula>"Done"</formula>
    </cfRule>
    <cfRule type="cellIs" priority="3" operator="equal" aboveAverage="0" equalAverage="0" bottom="0" percent="0" rank="0" text="" dxfId="13">
      <formula>"In Progress"</formula>
    </cfRule>
    <cfRule type="cellIs" priority="4" operator="equal" aboveAverage="0" equalAverage="0" bottom="0" percent="0" rank="0" text="" dxfId="14">
      <formula>"In Review"</formula>
    </cfRule>
    <cfRule type="cellIs" priority="5" operator="equal" aboveAverage="0" equalAverage="0" bottom="0" percent="0" rank="0" text="" dxfId="15">
      <formula>"Blocked"</formula>
    </cfRule>
    <cfRule type="cellIs" priority="6" operator="equal" aboveAverage="0" equalAverage="0" bottom="0" percent="0" rank="0" text="" dxfId="16">
      <formula>"Ready"</formula>
    </cfRule>
    <cfRule type="cellIs" priority="7" operator="equal" aboveAverage="0" equalAverage="0" bottom="0" percent="0" rank="0" text="" dxfId="17">
      <formula>"Backlog"</formula>
    </cfRule>
  </conditionalFormatting>
  <dataValidations count="1">
    <dataValidation allowBlank="true" errorStyle="stop" operator="between" showDropDown="false" showErrorMessage="false" showInputMessage="false" sqref="K2:K29" type="list">
      <formula1>"Backlog,Ready,In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2026-08-15T05:36:51Z</dcterms:created>
  <dc:creator>openpyxl</dc:creator>
  <dc:description/>
  <dc:language>en-US</dc:language>
  <cp:lastModifiedBy/>
  <dcterms:modified xsi:type="dcterms:W3CDTF">2026-08-15T05:36:51Z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